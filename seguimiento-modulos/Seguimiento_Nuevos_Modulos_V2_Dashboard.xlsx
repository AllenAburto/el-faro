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Indicadores" sheetId="2" state="visible" r:id="rId4"/>
    <sheet name="Etapas" sheetId="3" state="visible" r:id="rId5"/>
    <sheet name="Req. AutoAtención" sheetId="4" state="visible" r:id="rId6"/>
    <sheet name="Req. RAD" sheetId="5" state="visible" r:id="rId7"/>
    <sheet name="Req. LM" sheetId="6" state="visible" r:id="rId8"/>
    <sheet name="Req. Calificaciones" sheetId="7" state="visible" r:id="rId9"/>
    <sheet name="Req. FORCAP" sheetId="8" state="visible" r:id="rId10"/>
    <sheet name="Req. Portal" sheetId="9" state="visible" r:id="rId11"/>
    <sheet name="Req. VALS" sheetId="10" state="visible" r:id="rId12"/>
    <sheet name="Tablas y Glosario" sheetId="11" state="visible" r:id="rId13"/>
  </sheets>
  <definedNames>
    <definedName function="false" hidden="false" localSheetId="2" name="_xlnm.Print_Titles" vbProcedure="false">Etapas!$1:$1</definedName>
    <definedName function="false" hidden="true" localSheetId="2" name="_xlnm._FilterDatabase" vbProcedure="false">Etapas!$A$1:$Q$295</definedName>
    <definedName function="false" hidden="false" localSheetId="3" name="_xlnm.Print_Titles" vbProcedure="false">'Req. AutoAtención'!$1:$1</definedName>
    <definedName function="false" hidden="true" localSheetId="3" name="_xlnm._FilterDatabase" vbProcedure="false">'Req. AutoAtención'!$A$1:$O$71</definedName>
    <definedName function="false" hidden="false" localSheetId="6" name="_xlnm.Print_Titles" vbProcedure="false">'Req. Calificaciones'!$1:$1</definedName>
    <definedName function="false" hidden="true" localSheetId="6" name="_xlnm._FilterDatabase" vbProcedure="false">'Req. Calificaciones'!$A$1:$K$44</definedName>
    <definedName function="false" hidden="false" localSheetId="7" name="_xlnm.Print_Titles" vbProcedure="false">'Req. FORCAP'!$1:$1</definedName>
    <definedName function="false" hidden="true" localSheetId="7" name="_xlnm._FilterDatabase" vbProcedure="false">'Req. FORCAP'!$A$1:$K$1</definedName>
    <definedName function="false" hidden="false" localSheetId="5" name="_xlnm.Print_Titles" vbProcedure="false">'Req. LM'!$1:$1</definedName>
    <definedName function="false" hidden="true" localSheetId="5" name="_xlnm._FilterDatabase" vbProcedure="false">'Req. LM'!$A$1:$L$18</definedName>
    <definedName function="false" hidden="false" localSheetId="8" name="_xlnm.Print_Titles" vbProcedure="false">'Req. Portal'!$1:$1</definedName>
    <definedName function="false" hidden="true" localSheetId="8" name="_xlnm._FilterDatabase" vbProcedure="false">'Req. Portal'!$A$1:$K$1</definedName>
    <definedName function="false" hidden="false" localSheetId="4" name="_xlnm.Print_Titles" vbProcedure="false">'Req. RAD'!$1:$1</definedName>
    <definedName function="false" hidden="true" localSheetId="4" name="_xlnm._FilterDatabase" vbProcedure="false">'Req. RAD'!$A$1:$K$88</definedName>
    <definedName function="false" hidden="false" localSheetId="9" name="_xlnm.Print_Titles" vbProcedure="false">'Req. VALS'!$1:$1</definedName>
    <definedName function="false" hidden="true" localSheetId="9" name="_xlnm._FilterDatabase" vbProcedure="false">'Req. VALS'!$A$1:$K$1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<sst xmlns="http://schemas.openxmlformats.org/spreadsheetml/2006/main" count="5245" uniqueCount="881">
  <si>
    <t xml:space="preserve">Estado de Avance — Nuevos Módulos SIRH</t>
  </si>
  <si>
    <t xml:space="preserve">🚦  ESTADO GENERAL</t>
  </si>
  <si>
    <t xml:space="preserve">PLAZOS</t>
  </si>
  <si>
    <t xml:space="preserve">📈  AVANCE</t>
  </si>
  <si>
    <t xml:space="preserve">🎯  Avance general del proyecto</t>
  </si>
  <si>
    <t xml:space="preserve">Indicadores clave</t>
  </si>
  <si>
    <t xml:space="preserve">294 actividades · 10 etapas · 7 módulos</t>
  </si>
  <si>
    <t xml:space="preserve">📋  TOTAL ACTIVIDADES</t>
  </si>
  <si>
    <t xml:space="preserve">✅  FINALIZADAS</t>
  </si>
  <si>
    <t xml:space="preserve">🔄  EN CURSO</t>
  </si>
  <si>
    <t xml:space="preserve">🚨  ATRASADAS</t>
  </si>
  <si>
    <t xml:space="preserve">⏸️  NO INICIADAS</t>
  </si>
  <si>
    <t xml:space="preserve">📅  PROGRAMADAS</t>
  </si>
  <si>
    <t xml:space="preserve">Avance general</t>
  </si>
  <si>
    <t xml:space="preserve">Requerimientos + actividades</t>
  </si>
  <si>
    <t xml:space="preserve">🗂️  Avance de actividades</t>
  </si>
  <si>
    <t xml:space="preserve">📦  Requerimientos — Listos</t>
  </si>
  <si>
    <t xml:space="preserve">🧩  Requerimientos — Listos + Maqueta</t>
  </si>
  <si>
    <t xml:space="preserve">Avance por Etapa</t>
  </si>
  <si>
    <t xml:space="preserve">% actividades finalizadas / etapa</t>
  </si>
  <si>
    <t xml:space="preserve">Actividades por Responsable</t>
  </si>
  <si>
    <t xml:space="preserve">Avance por Módulo</t>
  </si>
  <si>
    <t xml:space="preserve">% actividades finalizadas / módulo</t>
  </si>
  <si>
    <t xml:space="preserve">Estado general de actividades</t>
  </si>
  <si>
    <t xml:space="preserve">Requerimientos por Módulo</t>
  </si>
  <si>
    <t xml:space="preserve">Listo · Maqueta · Pendiente · Observado</t>
  </si>
  <si>
    <t xml:space="preserve">Componentes destacados</t>
  </si>
  <si>
    <t xml:space="preserve">🏆 Mejor avance:</t>
  </si>
  <si>
    <t xml:space="preserve">% avance:</t>
  </si>
  <si>
    <t xml:space="preserve">⚠️ Menor avance:</t>
  </si>
  <si>
    <t xml:space="preserve">Notas de esta versión: se corrigió la fórmula de Estado en la hoja Etapas (la referencia a 'Tablas y Glosario'!F1 no estaba anclada con $, por lo que cada fila comparaba contra una celda de fecha distinta y en su mayoría vacía) y la fórmula de desglose por Responsable en Indicadores (las columnas C:J referenciaban columnas incorrectas de Etapas). Los gráficos dinámicos originales (basados en tablas dinámicas) se reemplazaron por gráficos nativos con fórmulas para mayor estabilidad y compatibilidad.</t>
  </si>
  <si>
    <t xml:space="preserve">Resumen Ejecutivo</t>
  </si>
  <si>
    <t xml:space="preserve">Indicador</t>
  </si>
  <si>
    <t xml:space="preserve">Valor</t>
  </si>
  <si>
    <t xml:space="preserve">Total actividades</t>
  </si>
  <si>
    <t xml:space="preserve">Finalizadas</t>
  </si>
  <si>
    <t xml:space="preserve">Finalizadas con desfase</t>
  </si>
  <si>
    <t xml:space="preserve">En curso</t>
  </si>
  <si>
    <t xml:space="preserve">Inicio retrasado (en curso)</t>
  </si>
  <si>
    <t xml:space="preserve">Programadas</t>
  </si>
  <si>
    <t xml:space="preserve">No iniciadas</t>
  </si>
  <si>
    <t xml:space="preserve">Atrasadas</t>
  </si>
  <si>
    <t xml:space="preserve">No planificadas</t>
  </si>
  <si>
    <t xml:space="preserve">COMPLETAR (falta info)</t>
  </si>
  <si>
    <t xml:space="preserve">% avance</t>
  </si>
  <si>
    <t xml:space="preserve">Estado general</t>
  </si>
  <si>
    <t xml:space="preserve">Resumen por Módulo</t>
  </si>
  <si>
    <t xml:space="preserve">Módulo</t>
  </si>
  <si>
    <t xml:space="preserve">Total</t>
  </si>
  <si>
    <t xml:space="preserve">COMPLETAR</t>
  </si>
  <si>
    <t xml:space="preserve">Falta planificación</t>
  </si>
  <si>
    <t xml:space="preserve">Programado</t>
  </si>
  <si>
    <t xml:space="preserve">No iniciado</t>
  </si>
  <si>
    <t xml:space="preserve">Inicio anticipado</t>
  </si>
  <si>
    <t xml:space="preserve">Inicio retrasado</t>
  </si>
  <si>
    <t xml:space="preserve">Atrasado</t>
  </si>
  <si>
    <t xml:space="preserve">Finalizado anticipado</t>
  </si>
  <si>
    <t xml:space="preserve">Finalizado</t>
  </si>
  <si>
    <t xml:space="preserve">Finalizado con desfase</t>
  </si>
  <si>
    <t xml:space="preserve">% Avance</t>
  </si>
  <si>
    <t xml:space="preserve">AutoAtención</t>
  </si>
  <si>
    <t xml:space="preserve">RAD</t>
  </si>
  <si>
    <t xml:space="preserve">Licencias Médicas</t>
  </si>
  <si>
    <t xml:space="preserve">Calificaciones</t>
  </si>
  <si>
    <t xml:space="preserve">FORCAP</t>
  </si>
  <si>
    <t xml:space="preserve">VALS</t>
  </si>
  <si>
    <t xml:space="preserve">Portal SIRH</t>
  </si>
  <si>
    <t xml:space="preserve">Resumen por Responsable</t>
  </si>
  <si>
    <t xml:space="preserve">Responsable</t>
  </si>
  <si>
    <t xml:space="preserve">% Responsabilidad</t>
  </si>
  <si>
    <t xml:space="preserve">MINSAL</t>
  </si>
  <si>
    <t xml:space="preserve">PROVEEDOR</t>
  </si>
  <si>
    <t xml:space="preserve">Resumen por Etapa</t>
  </si>
  <si>
    <t xml:space="preserve">Etapa</t>
  </si>
  <si>
    <t xml:space="preserve">1. Preparación</t>
  </si>
  <si>
    <t xml:space="preserve">2. Definición Funcional</t>
  </si>
  <si>
    <t xml:space="preserve">3. Diseño</t>
  </si>
  <si>
    <t xml:space="preserve">4. Planificación</t>
  </si>
  <si>
    <t xml:space="preserve">5. Construcción</t>
  </si>
  <si>
    <t xml:space="preserve">6. Validación</t>
  </si>
  <si>
    <t xml:space="preserve">7. Aseguramiento</t>
  </si>
  <si>
    <t xml:space="preserve">8. Adopción</t>
  </si>
  <si>
    <t xml:space="preserve">9. Operación</t>
  </si>
  <si>
    <t xml:space="preserve">10. Mejora Continua</t>
  </si>
  <si>
    <t xml:space="preserve">Resumen por Componente / Subetapa</t>
  </si>
  <si>
    <t xml:space="preserve">Componente / Subetapa</t>
  </si>
  <si>
    <t xml:space="preserve">Barra</t>
  </si>
  <si>
    <t xml:space="preserve">Constitución del equipo de Trabajo</t>
  </si>
  <si>
    <t xml:space="preserve">Definición de responsabilidades</t>
  </si>
  <si>
    <t xml:space="preserve">Definición de mecanismos de seguimiento</t>
  </si>
  <si>
    <t xml:space="preserve">Definición del alcance inicial</t>
  </si>
  <si>
    <t xml:space="preserve">Análisis del estado actual (AS-IS)</t>
  </si>
  <si>
    <t xml:space="preserve">Definición de la solución futura  TO-BE</t>
  </si>
  <si>
    <t xml:space="preserve">Identificación de brechas</t>
  </si>
  <si>
    <t xml:space="preserve">Definición y Priorización  de Requerimientos (Backlog)</t>
  </si>
  <si>
    <t xml:space="preserve">Definición de Requerimientos Funcionales</t>
  </si>
  <si>
    <t xml:space="preserve">Analisis funcional</t>
  </si>
  <si>
    <t xml:space="preserve">Validación estimación de esfuerzos</t>
  </si>
  <si>
    <t xml:space="preserve">Diseño de la solución</t>
  </si>
  <si>
    <t xml:space="preserve">Validación del diseño</t>
  </si>
  <si>
    <t xml:space="preserve">Organización de la ejecución</t>
  </si>
  <si>
    <t xml:space="preserve">Desarrollo.</t>
  </si>
  <si>
    <t xml:space="preserve">Configuración.</t>
  </si>
  <si>
    <t xml:space="preserve">Integraciones.</t>
  </si>
  <si>
    <t xml:space="preserve">Pruebas unitarias.</t>
  </si>
  <si>
    <t xml:space="preserve">Definición de Pilotos</t>
  </si>
  <si>
    <t xml:space="preserve">Validación funcional (pruebas)</t>
  </si>
  <si>
    <t xml:space="preserve">Retroalimentación</t>
  </si>
  <si>
    <t xml:space="preserve">Corrección</t>
  </si>
  <si>
    <t xml:space="preserve">Revalidación</t>
  </si>
  <si>
    <t xml:space="preserve">Aprobación</t>
  </si>
  <si>
    <t xml:space="preserve">Seguridad.</t>
  </si>
  <si>
    <t xml:space="preserve">Infraestructura.</t>
  </si>
  <si>
    <t xml:space="preserve">Rendimiento.</t>
  </si>
  <si>
    <t xml:space="preserve">Preparación Operacional</t>
  </si>
  <si>
    <t xml:space="preserve">Preparación</t>
  </si>
  <si>
    <t xml:space="preserve">Diagnostico</t>
  </si>
  <si>
    <t xml:space="preserve">Difusión</t>
  </si>
  <si>
    <t xml:space="preserve">Formación</t>
  </si>
  <si>
    <t xml:space="preserve">Pilotos</t>
  </si>
  <si>
    <t xml:space="preserve">Definición de Puesta en Marcha</t>
  </si>
  <si>
    <t xml:space="preserve">Implementación.</t>
  </si>
  <si>
    <t xml:space="preserve">Estabilización y monitoreo</t>
  </si>
  <si>
    <t xml:space="preserve">Soporte.</t>
  </si>
  <si>
    <t xml:space="preserve">Evaluación del proyecto.</t>
  </si>
  <si>
    <t xml:space="preserve">Evaluación de la adopción.</t>
  </si>
  <si>
    <t xml:space="preserve">Oportunidades de Mejora</t>
  </si>
  <si>
    <t xml:space="preserve">Planificación Evolutiva</t>
  </si>
  <si>
    <t xml:space="preserve">Resumen de Requerimientos por Módulo</t>
  </si>
  <si>
    <t xml:space="preserve">Listo</t>
  </si>
  <si>
    <t xml:space="preserve">Maqueta</t>
  </si>
  <si>
    <t xml:space="preserve">Pendiente</t>
  </si>
  <si>
    <t xml:space="preserve">Observado</t>
  </si>
  <si>
    <t xml:space="preserve">% Avance (Listo)</t>
  </si>
  <si>
    <t xml:space="preserve">Total general</t>
  </si>
  <si>
    <t xml:space="preserve">Avance Global de Requerimientos</t>
  </si>
  <si>
    <t xml:space="preserve">Total requerimientos</t>
  </si>
  <si>
    <t xml:space="preserve">Listos</t>
  </si>
  <si>
    <t xml:space="preserve">Maquetas</t>
  </si>
  <si>
    <t xml:space="preserve">Pendientes</t>
  </si>
  <si>
    <t xml:space="preserve">% Avance (Listos)</t>
  </si>
  <si>
    <t xml:space="preserve">% Avance (Listos + Maquetas)</t>
  </si>
  <si>
    <t xml:space="preserve">N°</t>
  </si>
  <si>
    <t xml:space="preserve">Fase</t>
  </si>
  <si>
    <t xml:space="preserve">Anterior</t>
  </si>
  <si>
    <t xml:space="preserve">Objetivo</t>
  </si>
  <si>
    <t xml:space="preserve">Componente/Subetapa</t>
  </si>
  <si>
    <t xml:space="preserve">Actividades/Tarea</t>
  </si>
  <si>
    <t xml:space="preserve">Productos/Entregables</t>
  </si>
  <si>
    <t xml:space="preserve">Criterios de Cumplimiento</t>
  </si>
  <si>
    <t xml:space="preserve">Punto de Control</t>
  </si>
  <si>
    <t xml:space="preserve">Fecha Inicio Programada</t>
  </si>
  <si>
    <t xml:space="preserve">Fecha Inicio Real</t>
  </si>
  <si>
    <t xml:space="preserve">Fecha Fin Máxima</t>
  </si>
  <si>
    <t xml:space="preserve">Fecha Fin Real</t>
  </si>
  <si>
    <t xml:space="preserve">Estado</t>
  </si>
  <si>
    <t xml:space="preserve">I</t>
  </si>
  <si>
    <t xml:space="preserve">Constitución Equipo de Trabajo</t>
  </si>
  <si>
    <t xml:space="preserve">Establecer las bases organizacionales, funcionales y técnicas necesarias para dar inicio al proyecto, definiendo la estructura de trabajo, los actores involucrados y el modelo de gobernanza.</t>
  </si>
  <si>
    <t xml:space="preserve">Designación de actores y responsabilidades</t>
  </si>
  <si>
    <t xml:space="preserve">Acta de Inicio</t>
  </si>
  <si>
    <t xml:space="preserve">Acta aprobada</t>
  </si>
  <si>
    <t xml:space="preserve">Descripción de Roles y matriz RACI</t>
  </si>
  <si>
    <t xml:space="preserve">Matriz RACI</t>
  </si>
  <si>
    <t xml:space="preserve">Matriz Aprobada</t>
  </si>
  <si>
    <t xml:space="preserve">Definición de actividades y periodicidad</t>
  </si>
  <si>
    <t xml:space="preserve">Cronograma Inicial</t>
  </si>
  <si>
    <t xml:space="preserve">Cronograma aprobado</t>
  </si>
  <si>
    <t xml:space="preserve">Definición de objetivos, módulos, funcionalidades, integraciones, impacto</t>
  </si>
  <si>
    <t xml:space="preserve">Ficha de Alcance</t>
  </si>
  <si>
    <t xml:space="preserve">Ficha aprobada</t>
  </si>
  <si>
    <t xml:space="preserve">Levantamiento y definición</t>
  </si>
  <si>
    <t xml:space="preserve">Comprender la situación actual del módulo, identificar necesidades y definir los requerimientos funcionales que serán incorporados al proyecto.</t>
  </si>
  <si>
    <t xml:space="preserve">Levantamiento del proceso actual y su normativa</t>
  </si>
  <si>
    <t xml:space="preserve">Documento de análisis del estado actual</t>
  </si>
  <si>
    <t xml:space="preserve">Documento Aprobado</t>
  </si>
  <si>
    <t xml:space="preserve">Comprender la situación actual del módulo, identificar necesidades del negocio y definir los requerimientos funcionales y técnicos que serán incorporados al proyecto.</t>
  </si>
  <si>
    <t xml:space="preserve">Levantamiento de requerimientos</t>
  </si>
  <si>
    <t xml:space="preserve">Documento de Requerimientos </t>
  </si>
  <si>
    <t xml:space="preserve">Comparación </t>
  </si>
  <si>
    <t xml:space="preserve">Informe de Brechas</t>
  </si>
  <si>
    <t xml:space="preserve">Informe Aprobado</t>
  </si>
  <si>
    <t xml:space="preserve">Definir criterios y organizar requerimientos</t>
  </si>
  <si>
    <t xml:space="preserve">Registro priorizado de requerimientos (Product Backlog)</t>
  </si>
  <si>
    <t xml:space="preserve">Priorización aprobada</t>
  </si>
  <si>
    <t xml:space="preserve">Elaborar documento de requerimientos</t>
  </si>
  <si>
    <t xml:space="preserve">Documento A</t>
  </si>
  <si>
    <t xml:space="preserve">Documento A Aprobado</t>
  </si>
  <si>
    <t xml:space="preserve">Análisis y Diseño</t>
  </si>
  <si>
    <t xml:space="preserve">Definir la solución funcional y técnica que dará respuesta a los requerimientos priorizados.</t>
  </si>
  <si>
    <t xml:space="preserve">Generar Documento de estimación de esfuerzo</t>
  </si>
  <si>
    <t xml:space="preserve">Documento B</t>
  </si>
  <si>
    <t xml:space="preserve">Documento B Aprobado</t>
  </si>
  <si>
    <t xml:space="preserve">Revisión estimación de esfuerzos</t>
  </si>
  <si>
    <t xml:space="preserve">Generar Prototipos y Maquetas</t>
  </si>
  <si>
    <t xml:space="preserve">Documento C</t>
  </si>
  <si>
    <t xml:space="preserve">Documento C Aprobado</t>
  </si>
  <si>
    <t xml:space="preserve">Revisión Documento de Diseño</t>
  </si>
  <si>
    <t xml:space="preserve">Planificación</t>
  </si>
  <si>
    <t xml:space="preserve">Organizar el desarrollo del proyecto definiendo iteraciones, recursos, tiempos y estrategia de ejecución.</t>
  </si>
  <si>
    <t xml:space="preserve">Definición del organigrama</t>
  </si>
  <si>
    <t xml:space="preserve">Organigrama</t>
  </si>
  <si>
    <t xml:space="preserve">Planificación aprobada.</t>
  </si>
  <si>
    <t xml:space="preserve">Construcción</t>
  </si>
  <si>
    <t xml:space="preserve">Desarrollar y configurar las funcionalidades requeridas.</t>
  </si>
  <si>
    <t xml:space="preserve">Desarrollo de funcionalidades</t>
  </si>
  <si>
    <t xml:space="preserve">Funcionalidades desarrolladas.</t>
  </si>
  <si>
    <t xml:space="preserve">Funcionalidades disponibles</t>
  </si>
  <si>
    <t xml:space="preserve">Configuración de componentes</t>
  </si>
  <si>
    <t xml:space="preserve">Código fuente.</t>
  </si>
  <si>
    <t xml:space="preserve">Componentes aprobados</t>
  </si>
  <si>
    <t xml:space="preserve">Desarrollo de integraciones</t>
  </si>
  <si>
    <t xml:space="preserve">Integraciones desarrolladas</t>
  </si>
  <si>
    <t xml:space="preserve">Integraciones aprobadas</t>
  </si>
  <si>
    <t xml:space="preserve">Realización de pruebas </t>
  </si>
  <si>
    <t xml:space="preserve">Registro de pruebas unitarias.</t>
  </si>
  <si>
    <t xml:space="preserve">Pruebas aprobadas</t>
  </si>
  <si>
    <t xml:space="preserve">Certificación</t>
  </si>
  <si>
    <t xml:space="preserve">Validar que la solución cumple con los requerimientos funcionales y técnicos definidos.</t>
  </si>
  <si>
    <t xml:space="preserve">Definir organismos que realizaran las pruebas</t>
  </si>
  <si>
    <t xml:space="preserve">Nómina de organismos piloto</t>
  </si>
  <si>
    <t xml:space="preserve">Solución certificada.</t>
  </si>
  <si>
    <t xml:space="preserve">Realización y validación de pruebas</t>
  </si>
  <si>
    <t xml:space="preserve">Plan de pruebas realizadas</t>
  </si>
  <si>
    <t xml:space="preserve">Plan de pruebas aprobadas</t>
  </si>
  <si>
    <t xml:space="preserve">Gestión de observaciones.</t>
  </si>
  <si>
    <t xml:space="preserve">Incidencias</t>
  </si>
  <si>
    <t xml:space="preserve">Incidencias Resueltas</t>
  </si>
  <si>
    <t xml:space="preserve">Actualizar solución desarrollada</t>
  </si>
  <si>
    <t xml:space="preserve">Solución actualizada</t>
  </si>
  <si>
    <t xml:space="preserve">Solución Aprobada</t>
  </si>
  <si>
    <t xml:space="preserve">Cierre de incidencias</t>
  </si>
  <si>
    <t xml:space="preserve">Cierre ejecutado</t>
  </si>
  <si>
    <t xml:space="preserve">Validar funcionalmente </t>
  </si>
  <si>
    <t xml:space="preserve">Certificado de aprobación de pruebas</t>
  </si>
  <si>
    <t xml:space="preserve">Certificación entregada</t>
  </si>
  <si>
    <t xml:space="preserve">Seguridad e Infraestructura</t>
  </si>
  <si>
    <t xml:space="preserve">Garantizar que la solución cumpla con los estándares de seguridad y cuente con la infraestructura necesaria para su operación.</t>
  </si>
  <si>
    <t xml:space="preserve">Ejecución Análisis de vulnerabilidades.</t>
  </si>
  <si>
    <t xml:space="preserve">Informe de hallazgos</t>
  </si>
  <si>
    <t xml:space="preserve">Certificación de seguridad</t>
  </si>
  <si>
    <t xml:space="preserve">Configuración de ambientes, servidores y redes</t>
  </si>
  <si>
    <t xml:space="preserve">Infraestructura habilitada</t>
  </si>
  <si>
    <t xml:space="preserve">Certificación de infraestructura</t>
  </si>
  <si>
    <t xml:space="preserve">Ejecución de pruebas de estrés</t>
  </si>
  <si>
    <t xml:space="preserve">Informe de rendimiento</t>
  </si>
  <si>
    <t xml:space="preserve">Certificación de rendimiento</t>
  </si>
  <si>
    <t xml:space="preserve">Validación de servicios de integración</t>
  </si>
  <si>
    <t xml:space="preserve">Informe del estado de integraciones</t>
  </si>
  <si>
    <t xml:space="preserve">Certificación de integraciones</t>
  </si>
  <si>
    <t xml:space="preserve">Verificar respaldos, usuarios, perfiles, permisos</t>
  </si>
  <si>
    <t xml:space="preserve">Check List Operacional</t>
  </si>
  <si>
    <t xml:space="preserve">Certificación de Operación</t>
  </si>
  <si>
    <t xml:space="preserve">Despliegue y Gestión del Cambio</t>
  </si>
  <si>
    <t xml:space="preserve">Preparar a la organización para la adopción del nuevo módulo y ejecutar su despliegue de manera planificada.</t>
  </si>
  <si>
    <t xml:space="preserve">Elaboración del plan de adopción</t>
  </si>
  <si>
    <t xml:space="preserve">Plan de Gestión del Cambio.</t>
  </si>
  <si>
    <t xml:space="preserve">Plan de GDC aprobado</t>
  </si>
  <si>
    <t xml:space="preserve">Evaluar el nivel de preparación para el cambio</t>
  </si>
  <si>
    <t xml:space="preserve">Informe de Diagnóstico</t>
  </si>
  <si>
    <t xml:space="preserve">Informe diagnostico aprobado</t>
  </si>
  <si>
    <t xml:space="preserve">Elaboración del plan de comunicaciones</t>
  </si>
  <si>
    <t xml:space="preserve">Plan de Comunicación</t>
  </si>
  <si>
    <t xml:space="preserve">Plan de comunicación aprobado</t>
  </si>
  <si>
    <t xml:space="preserve">Elaboración del plan de formación</t>
  </si>
  <si>
    <t xml:space="preserve">Plan de Formación</t>
  </si>
  <si>
    <t xml:space="preserve">Plan de formación aprobado</t>
  </si>
  <si>
    <t xml:space="preserve">Soporte en el despliegue con los organismos seleccionados</t>
  </si>
  <si>
    <t xml:space="preserve">Informe de Adopción en Pilotos</t>
  </si>
  <si>
    <t xml:space="preserve">Informe de adopción aprobado</t>
  </si>
  <si>
    <t xml:space="preserve">Elaboración del plan de despliegue</t>
  </si>
  <si>
    <t xml:space="preserve">Plan de Despliegue</t>
  </si>
  <si>
    <t xml:space="preserve">Plan de despliegue aprobado</t>
  </si>
  <si>
    <t xml:space="preserve">Producción</t>
  </si>
  <si>
    <t xml:space="preserve">Implementar la solución en el ambiente productivo asegurando la continuidad operativa y el soporte inicial.</t>
  </si>
  <si>
    <t xml:space="preserve">Habilitación nacional y Lanzamiento </t>
  </si>
  <si>
    <t xml:space="preserve">Comunicado Paso a Producción / Lanzamiento</t>
  </si>
  <si>
    <t xml:space="preserve">Aplicativo funcionando correctamente</t>
  </si>
  <si>
    <t xml:space="preserve">Seguimiento intensivo al despliegue</t>
  </si>
  <si>
    <t xml:space="preserve">Informe de Monitoreo</t>
  </si>
  <si>
    <t xml:space="preserve">Informe aprobado</t>
  </si>
  <si>
    <t xml:space="preserve">Gestión de incidencias.</t>
  </si>
  <si>
    <t xml:space="preserve">Registro de incidencias.</t>
  </si>
  <si>
    <t xml:space="preserve">Evaluación y Mejora Continua</t>
  </si>
  <si>
    <t xml:space="preserve">Evaluar los resultados de la implementación, identificar oportunidades de mejora y retroalimentar el proceso de mejora continua del módulo.</t>
  </si>
  <si>
    <t xml:space="preserve">Medición de indicadores.</t>
  </si>
  <si>
    <t xml:space="preserve">Informe de Evaluación</t>
  </si>
  <si>
    <t xml:space="preserve">Informe de evaluación aprobado</t>
  </si>
  <si>
    <t xml:space="preserve">Evaluar los resultados de la implementación, identificar oportunidades de mejora y retroalimentar el proceso de evolución continua del módulo.</t>
  </si>
  <si>
    <t xml:space="preserve">Encuestas de satisfacción.</t>
  </si>
  <si>
    <t xml:space="preserve">Informe de Satisfacción</t>
  </si>
  <si>
    <t xml:space="preserve">Informe de satisfacción  aprobado</t>
  </si>
  <si>
    <t xml:space="preserve">Identificación de Mejoras</t>
  </si>
  <si>
    <t xml:space="preserve">Informe con catálogo de mejoras</t>
  </si>
  <si>
    <t xml:space="preserve">Informe de mejoras aprobado</t>
  </si>
  <si>
    <t xml:space="preserve">Categorización y priorización de mejoras</t>
  </si>
  <si>
    <t xml:space="preserve">Documento A Replanificación</t>
  </si>
  <si>
    <t xml:space="preserve">Documento A aprobado</t>
  </si>
  <si>
    <t xml:space="preserve">id</t>
  </si>
  <si>
    <t xml:space="preserve">Tema</t>
  </si>
  <si>
    <t xml:space="preserve">Id Requerimiento</t>
  </si>
  <si>
    <t xml:space="preserve">Descripcion segun Bases de Licitación</t>
  </si>
  <si>
    <t xml:space="preserve">Especificación Equipo SIRH</t>
  </si>
  <si>
    <t xml:space="preserve">Implementado</t>
  </si>
  <si>
    <t xml:space="preserve">Requiere requerimiento</t>
  </si>
  <si>
    <t xml:space="preserve">Fecha solicitud de Entrega (Indra)</t>
  </si>
  <si>
    <t xml:space="preserve">Fecha de entrega requerimiento</t>
  </si>
  <si>
    <t xml:space="preserve">Medio de Entrega</t>
  </si>
  <si>
    <t xml:space="preserve">Acción necesaria</t>
  </si>
  <si>
    <t xml:space="preserve">ANTECEDENTES DEL FUNCIONARIO</t>
  </si>
  <si>
    <t xml:space="preserve">APE-03-01</t>
  </si>
  <si>
    <t xml:space="preserve">Realizar la verificación y actualización de los datos personales, académicos, laborales u otros datos relevantes de la hoja de vida del trabajador, a su vez, deberá permitir adjuntar la documentación de respaldo correspondiente para posterior visación del analista de personal.</t>
  </si>
  <si>
    <t xml:space="preserve">Requerimiento se basa en las funcionalidades actuales disponibles</t>
  </si>
  <si>
    <t xml:space="preserve">Si</t>
  </si>
  <si>
    <t xml:space="preserve">No</t>
  </si>
  <si>
    <t xml:space="preserve">Inicial</t>
  </si>
  <si>
    <t xml:space="preserve">Reuniones - Oferta técnica</t>
  </si>
  <si>
    <t xml:space="preserve">Revisar</t>
  </si>
  <si>
    <t xml:space="preserve">SIRH - Piloto</t>
  </si>
  <si>
    <t xml:space="preserve">APE-03-02</t>
  </si>
  <si>
    <t xml:space="preserve">Realizar descarga de certificados de la hoja de vida del trabajador, dichos certificados son:</t>
  </si>
  <si>
    <t xml:space="preserve">x</t>
  </si>
  <si>
    <t xml:space="preserve">Capacitaciones</t>
  </si>
  <si>
    <t xml:space="preserve">Relación de servicios</t>
  </si>
  <si>
    <t xml:space="preserve">Cargas familiares registradas</t>
  </si>
  <si>
    <t xml:space="preserve">Antigüedad laboral (analizar los parámetros que se necesitan para la emisión de este certificado)</t>
  </si>
  <si>
    <t xml:space="preserve">Anotaciones de Merito y Demerito</t>
  </si>
  <si>
    <t xml:space="preserve">Requerimiento se fundamenta en las Bases de Licitación</t>
  </si>
  <si>
    <t xml:space="preserve">Secuencia</t>
  </si>
  <si>
    <t xml:space="preserve">Bases de Licitación</t>
  </si>
  <si>
    <t xml:space="preserve">Implementar</t>
  </si>
  <si>
    <t xml:space="preserve">No he podido visualizar mis anotaciones. Falta filtro de fecha</t>
  </si>
  <si>
    <t xml:space="preserve">Rentas por Empleador (operación renta)</t>
  </si>
  <si>
    <t xml:space="preserve">Sueldo, certificado de sueldo</t>
  </si>
  <si>
    <t xml:space="preserve">APE-03-03</t>
  </si>
  <si>
    <t xml:space="preserve">Consultar las Liquidaciones de sueldo por rango de fechas, dando la opción de descargarlas.</t>
  </si>
  <si>
    <t xml:space="preserve">CONTROL DE ASISTENCIA Y AUSENTISMO</t>
  </si>
  <si>
    <t xml:space="preserve">APE-04-03</t>
  </si>
  <si>
    <t xml:space="preserve">Solicitar y registrar al menos los siguientes ausentismos:</t>
  </si>
  <si>
    <t xml:space="preserve">SI</t>
  </si>
  <si>
    <t xml:space="preserve">Permisos Administrativos</t>
  </si>
  <si>
    <t xml:space="preserve">Feriados Legales</t>
  </si>
  <si>
    <t xml:space="preserve">Descansos Complementarios</t>
  </si>
  <si>
    <t xml:space="preserve">Permisos Sin Goce de Sueldo</t>
  </si>
  <si>
    <t xml:space="preserve">Requerimiento se basa en la estructura de solicitudes ya definida en las funcionalidades actuales</t>
  </si>
  <si>
    <t xml:space="preserve">Reuniones</t>
  </si>
  <si>
    <t xml:space="preserve">Indra</t>
  </si>
  <si>
    <t xml:space="preserve">Permiso Paternal</t>
  </si>
  <si>
    <t xml:space="preserve">Permiso por Matrimonio o acuerdo unión civil</t>
  </si>
  <si>
    <t xml:space="preserve">No he podido visualizarlo</t>
  </si>
  <si>
    <t xml:space="preserve">Permiso gremial</t>
  </si>
  <si>
    <t xml:space="preserve">Permiso entre Feriados</t>
  </si>
  <si>
    <t xml:space="preserve">Fallecimiento cónyuge</t>
  </si>
  <si>
    <t xml:space="preserve">Fallecimiento hijo</t>
  </si>
  <si>
    <t xml:space="preserve">Fallecimiento padre o madre</t>
  </si>
  <si>
    <t xml:space="preserve">Fallecimiento hijo en gestación</t>
  </si>
  <si>
    <t xml:space="preserve">Permiso bombero</t>
  </si>
  <si>
    <t xml:space="preserve">Permiso deportivo</t>
  </si>
  <si>
    <t xml:space="preserve">Permiso lactancia</t>
  </si>
  <si>
    <t xml:space="preserve">Descanso compensatorio</t>
  </si>
  <si>
    <t xml:space="preserve">Permiso por Alerta Sanitaria</t>
  </si>
  <si>
    <t xml:space="preserve">Decreto Excepcion (Agregado)</t>
  </si>
  <si>
    <t xml:space="preserve">APE-04-04</t>
  </si>
  <si>
    <t xml:space="preserve">Mostrar los saldos disponibles para los permisos, administrativos, feriados legales y descansos complementarios, para este último, el sistema deberá entregar una alerta de al menos 2 meses antes de cumplir el vencimiento de horas, asimismo informar el comienzo del proceso de acumulación de los feriados legales, indicando el total de días que pueden y no traspasar.</t>
  </si>
  <si>
    <t xml:space="preserve">•Vencimiento de horas: debe comenzar a mostrarse con a lo menos 2 meses de anticipación al vencimiento y corresponde a algún mensaje llamativo en la vista inicial al usuario (Resumen), además de la notificación.
•Proceso de Acumulación de FL: Corresponde a mensaje llamativo en la vista inicial al usuario (Resumen) desde que se habilita el proceso, además de la notificación.</t>
  </si>
  <si>
    <t xml:space="preserve">Correo</t>
  </si>
  <si>
    <t xml:space="preserve">Pendiente carga de FL y horas por vencer</t>
  </si>
  <si>
    <t xml:space="preserve">Alerta de horas en en resumen de saldos y liquidaciones</t>
  </si>
  <si>
    <t xml:space="preserve">Se refiere a resumen funcional de horas por vencer mediante mensaje dentro del aplicativo, en la vista resumen</t>
  </si>
  <si>
    <t xml:space="preserve">APE-04-05</t>
  </si>
  <si>
    <t xml:space="preserve">Realizar el proceso de acumulación de feriado legal.</t>
  </si>
  <si>
    <t xml:space="preserve">APE-04-06</t>
  </si>
  <si>
    <t xml:space="preserve">Mostrar el histórico de solicitudes por tipo de ausentismos, mostrando el detalle de las solicitudes y estado, dicho estado deberá indicar por cuál de los firmantes se encuentra pendiente, si la solicitud se encuentra correctamente visada y registrada en el sistema o si se encuentra rechazada.</t>
  </si>
  <si>
    <t xml:space="preserve">Firmantes, revisar</t>
  </si>
  <si>
    <t xml:space="preserve">APE-04-07</t>
  </si>
  <si>
    <t xml:space="preserve">Mostrar los registros de Licencias médicas con su respectivo detalle.</t>
  </si>
  <si>
    <t xml:space="preserve">NOTIFICACIONES E INFORMATIVOS</t>
  </si>
  <si>
    <t xml:space="preserve">APE-08-01</t>
  </si>
  <si>
    <t xml:space="preserve">Disponibilizar las notificaciones e informativos.</t>
  </si>
  <si>
    <t xml:space="preserve">APE-08-05</t>
  </si>
  <si>
    <t xml:space="preserve">Notificar aceptación o rechazos de las solicitudes por parte de la jefatura.</t>
  </si>
  <si>
    <t xml:space="preserve">APE-08-06</t>
  </si>
  <si>
    <t xml:space="preserve">Notificar al personal el comienzo del proceso de acumulación de feriados legales, a su vez, indicar el total de días que pueden y no traspasar.</t>
  </si>
  <si>
    <t xml:space="preserve">Corresponde a mensaje llamativo en la vista inicial al usuario (Resumen) desde que se habilita el proceso, además de la notificación.</t>
  </si>
  <si>
    <t xml:space="preserve">CONTROL DE AUSENTISMOS</t>
  </si>
  <si>
    <t xml:space="preserve">APJ-02-01</t>
  </si>
  <si>
    <t xml:space="preserve">Ver el listado de solicitudes pendiente de autorización o rechazo por parte de la jefatura directa del personal, permitiendo exportar en formato Excel el listado de estas solicitudes.</t>
  </si>
  <si>
    <t xml:space="preserve">APJ-02-02</t>
  </si>
  <si>
    <t xml:space="preserve">Autorizar o rechazar solicitudes de permiso o feriados legales, en esta opción se puede permitir aceptar o rechazar individualmente como masiva, si se indica la opción de rechazo, esta debe permitir ingresar el motivo del rechazo y enviar al personal solicitante.</t>
  </si>
  <si>
    <t xml:space="preserve">APJ-02-03</t>
  </si>
  <si>
    <t xml:space="preserve">Mostrar de acuerdo con filtros las solicitudes realizadas por el personal, los filtros deben ser por personal y/o unidad dependiente.</t>
  </si>
  <si>
    <t xml:space="preserve">APJ-02-04</t>
  </si>
  <si>
    <t xml:space="preserve">Mostrar en un listado y permitir exportar en formato Excel el histórico de solicitudes con su respectivo estado</t>
  </si>
  <si>
    <t xml:space="preserve">II</t>
  </si>
  <si>
    <t xml:space="preserve">APE-04-01</t>
  </si>
  <si>
    <t xml:space="preserve">Realizar la consulta del control de asistencia, dicho control de asistencia tendrá que mostrar las marcas realizadas en el mes en curso como el histórico de meses, a su vez, debe permitir la descarga de esta o estas planillas.</t>
  </si>
  <si>
    <t xml:space="preserve">Requerimiento se basa en las funcionalidades actuales disponibles (se refiere a planilla de asistencia existente, lo que cual de todos modos será mejorado en gestión de turnos)</t>
  </si>
  <si>
    <t xml:space="preserve">APE-04-02</t>
  </si>
  <si>
    <t xml:space="preserve">Mostrar la programación horaria vigente y los días de turno del trabajador, a su vez, notificar si este programa ha sido actualizando, dando la posibilidad al trabajador de indicar si aceptan o rechazan el cambio, indicando una observación de este.</t>
  </si>
  <si>
    <t xml:space="preserve">Se cumple medianamente con la funcionalidad de agregar funcionario y marcar funcionarios ausentes. Falta la posibilidad de ofrecer el turno a quienes se encuentren disponibles. Se requiere también una opción para señalar el periodo por el cual se modificará la programación horaria.</t>
  </si>
  <si>
    <t xml:space="preserve">Conformar Mesa Técnica</t>
  </si>
  <si>
    <t xml:space="preserve">SIRH</t>
  </si>
  <si>
    <t xml:space="preserve">Comisiones y Cometidos Nacionales (*)</t>
  </si>
  <si>
    <t xml:space="preserve">PENDIENTE</t>
  </si>
  <si>
    <t xml:space="preserve">CONTROL DE ASISTENCIA Y SISTEMAS DE TURNOS</t>
  </si>
  <si>
    <t xml:space="preserve">APJ-01-01</t>
  </si>
  <si>
    <t xml:space="preserve">Ver el sistema de turno de cada integrante de su unidad, indicando los días libres (sin turno), ausentismos y jornada laboral (día, noche, turnos extras, etc.)</t>
  </si>
  <si>
    <t xml:space="preserve">Se cumple al mostrar el calendario. Se requiere definir conceptos y colores a utilizar, que sean demostrativos para cada situación</t>
  </si>
  <si>
    <t xml:space="preserve">APJ-01-02</t>
  </si>
  <si>
    <t xml:space="preserve">Mostrar en un cuadro resumen la falta o diferencia de horas para cubrir los turnos y dotación del personal</t>
  </si>
  <si>
    <t xml:space="preserve">No se observa en la presentación. En la reunión se sugirió un dashboard, sin embargo, se podría generar una vista más simplificada de resumen.</t>
  </si>
  <si>
    <t xml:space="preserve">APJ-01-03</t>
  </si>
  <si>
    <t xml:space="preserve">Administrar y modificar la disponibilidad del turno de los integrantes de su unidad.</t>
  </si>
  <si>
    <t xml:space="preserve">Se cumple medianamente con la funcionalidad de agregar funcionario y marcar funcionarios ausentes. Falta la posibilidad de ofrecer el turno a quienes se encuentren disponibles</t>
  </si>
  <si>
    <t xml:space="preserve">APJ-01-04</t>
  </si>
  <si>
    <t xml:space="preserve">Administrar y modificar la programación horaria de los integrantes de su unidad</t>
  </si>
  <si>
    <t xml:space="preserve">APJ-01-05</t>
  </si>
  <si>
    <t xml:space="preserve">Mostrar los comentarios y aceptación o rechazos respecto al cambio de programa horario y/o turno.</t>
  </si>
  <si>
    <t xml:space="preserve">Se cumple medianamente con la bitácora. Se requiere definir conceptos y colores a utilizar, que sean demostrativos para cada situación</t>
  </si>
  <si>
    <t xml:space="preserve">APSJ-01-06</t>
  </si>
  <si>
    <t xml:space="preserve">Gestionar las horas extras del equipo a cargo, programación, validación, autorización a compensar o a pago.</t>
  </si>
  <si>
    <t xml:space="preserve">Se cumple medianamente al poder revisar planilla de asistencia y justificar marcas. Falta la posibilidad de autorizar horas extras y la opción de compensación o pago</t>
  </si>
  <si>
    <t xml:space="preserve">INDUCCIÓN</t>
  </si>
  <si>
    <t xml:space="preserve">III</t>
  </si>
  <si>
    <t xml:space="preserve">APE-02-01</t>
  </si>
  <si>
    <t xml:space="preserve">El acceso a revisar el plan de inducción especifico a cumplir, detallando las actividades programas, calendarios, tipos de actividad y responsable a realizarla, a su vez, permitirá descargar la información contenida.</t>
  </si>
  <si>
    <t xml:space="preserve">APE-02-02</t>
  </si>
  <si>
    <t xml:space="preserve">Revisión del estado de las actividades de inducción y etapas de está, si hay modificaciones del calendario de actividades estas deben ser destacadas para alertar al trabajador.</t>
  </si>
  <si>
    <t xml:space="preserve">BIENESTAR</t>
  </si>
  <si>
    <t xml:space="preserve">APE-07-01</t>
  </si>
  <si>
    <t xml:space="preserve">Solicitar Afiliación a bienestar.</t>
  </si>
  <si>
    <t xml:space="preserve">El funcionario podrá realizar solicitud de afiliación mediante formulario que contenga los datos necesarios y documentos adjuntos que permitan una correcta revisión por parte del encargado de Bienestar. Por ende, se debe considerar la creación de un perfil para autorización de solicitudes desde Bienestar, quien deberá indicar si realizó el pago de la cuota de incorporación, aprobar o rechazar la solicitud, incluyendo justificación en el caso del rechazo. Si la solicitud es aprobada, la afiliación debe registrarse automáticamente en el módulo de bienestar. Posterior a ello, el funcionario podrá revisar y descargar su certificado de afiliación.</t>
  </si>
  <si>
    <t xml:space="preserve">APE-07-02</t>
  </si>
  <si>
    <t xml:space="preserve">Realizar seguimiento a solicitudes de funcionarios, solicitudes como afiliación y solicitud de beneficios.</t>
  </si>
  <si>
    <t xml:space="preserve">El sistema deberá permitir que el funcionario que solicita pueda revisar el estado de sus solicitudes y que el perfil de revisor/autorizador de Bienestar pueda visualizar las solicitudes, con sus respectivos estados. Esto último incluye poder hacer gestión de forma individual o masiva, ya sea aprobando, rechazando o solicitando más antecedentes.</t>
  </si>
  <si>
    <t xml:space="preserve">APE-07-03</t>
  </si>
  <si>
    <t xml:space="preserve">Mostrar los beneficios a los que puede acceder con sus respectivos topes.</t>
  </si>
  <si>
    <t xml:space="preserve">El sistema deberá mostrar al funcionario los beneficios y tipos de solicitudes que puede realizar, con toda la información necesaria, incluyendo topes, montos, requisitos y documentos necesarios.,</t>
  </si>
  <si>
    <t xml:space="preserve">APE-07-04</t>
  </si>
  <si>
    <t xml:space="preserve">Consultar la cuenta corriente del funcionario en lo que respecta a los beneficios, préstamos y convenios a terceros otorgados. </t>
  </si>
  <si>
    <t xml:space="preserve">El funcionario podrá consultar la cuenta corriente y cartola, lo que incluye sus solicitudes, estados y saldos.</t>
  </si>
  <si>
    <t xml:space="preserve">APE-07-05</t>
  </si>
  <si>
    <t xml:space="preserve">Permitir solicitar reembolso por tipo de beneficios asociados a bienestar, a su vez, permitir adjuntar documentación respectiva como antecedentes de esta solicitud.</t>
  </si>
  <si>
    <t xml:space="preserve">El funcionario podrá solicitar todo tipo de beneficios otorgados a través del área de Bienestar, categorizados como corresponde, ingresando los datos requeridos según tipo de beneficio y adjuntando la documentación necesaria. Los beneficios a los cuales puede acceder y los estados posibles podrán extraerse desde el módulo de Bienestar de cada organismo, pero también deberán ser parametrizables desde AutoAtención.</t>
  </si>
  <si>
    <t xml:space="preserve">APE-08-02</t>
  </si>
  <si>
    <t xml:space="preserve">Disponibilizar los resultados de sus apelaciones.</t>
  </si>
  <si>
    <t xml:space="preserve">APE-08-03</t>
  </si>
  <si>
    <t xml:space="preserve">Disponibilizar resultados de postulación cursos de capacitación. (Portal SIRH)</t>
  </si>
  <si>
    <t xml:space="preserve">APE-08-04</t>
  </si>
  <si>
    <t xml:space="preserve">Notificar estados del proceso calificatorio.</t>
  </si>
  <si>
    <t xml:space="preserve">No </t>
  </si>
  <si>
    <t xml:space="preserve">Indicar el total de días que pueden y no traspasar.</t>
  </si>
  <si>
    <t xml:space="preserve">APE-08-07</t>
  </si>
  <si>
    <t xml:space="preserve">Notificar aceptación o rechazo de solicitudes Bienestar.</t>
  </si>
  <si>
    <t xml:space="preserve">El sistema deberá notificar cada movimiento de las solicitudes del funcionario mediante correo electrónico y también, mediante la funcionalidad de notificaciones del propio sistema.</t>
  </si>
  <si>
    <t xml:space="preserve">APE-08-08</t>
  </si>
  <si>
    <t xml:space="preserve">Notificar al personal de las deudas pendientes a bienestar.</t>
  </si>
  <si>
    <t xml:space="preserve">El sistema deberá notificar al funcionario y sus avales respecto de las deudas pendientes y la transferencia de la deuda a los avales mediante correo electrónico y también, mediante la funcionalidad de notificaciones del propio sistema.</t>
  </si>
  <si>
    <t xml:space="preserve">ADICIONALES</t>
  </si>
  <si>
    <t xml:space="preserve">XXXXXXX</t>
  </si>
  <si>
    <t xml:space="preserve">Generar parametrización en cuanto a la posibilidad de establecer plazos de ingreso para las solicitudes.</t>
  </si>
  <si>
    <t xml:space="preserve">Se requiere habilitar parametros que permitan establecer plazos para la solicitud de permisos (Requerimiento Jefatura DIGEDEP)</t>
  </si>
  <si>
    <t xml:space="preserve">Definición Brecha</t>
  </si>
  <si>
    <t xml:space="preserve">Se requiere que el proveedor entregue los proyectos que se encuentran en producción y que deben ser considerados en el nuevo autoatención (ejemplo, proyecto 290 y 460 Fonasa, proyecto 867 plan de salud, entre otros)</t>
  </si>
  <si>
    <t xml:space="preserve">Solicitud Permiso Postnatal Parental</t>
  </si>
  <si>
    <t xml:space="preserve">Esta solicitud consta de 12 semanas a jornada completa o 18 semanas a media jornada.
Este permiso puede ser traspasado al padre, a partir de la septima semana. Si se traspasa en jornada completa, el padre puede utilizar hasta 6 semanas. Si se traspasa en media jornada, el padre puede utilizar hasta 12 semanas.
Este permiso debiese gatillarse inmediatamente después de la licencia médica maternal de postnatal en jornada completa para el caso de la madre trabajadora que no manifieste su intención de tomarlo a media jornada. Es por ésto que es necesario incorporar la opción de que la funcionaria pueda generar este aviso y que se envíe a gestión de personas, con a lo menos 30 días corridos de anticipación al término de la licencia postnatal. A su vez, gestión de personas deberá certificar la fecha de recepción y enviar copia de ello a la funcionaria.
Considerar también la opción de este permiso producto de la obtención del cuidado personal de un menor. Esto significa que la solicitud inicia desde el funcionario o funcionaria y quien debe cargar una declaración jurada y el certificado del tribunal, además de indicar la modalidad en que se tomará el permiso.
En el caso de que solo el padre sea funcionario y quiera hacer uso del permiso, deberá considerarse la opción de generar este aviso hacia gestión de personas con a lo menos 10 días de anticipación a la fecha que haga uso del permiso, siguiendo los mismos pasos que cuando es la funcionaria quien genera el aviso.</t>
  </si>
  <si>
    <t xml:space="preserve">Se ajustará </t>
  </si>
  <si>
    <t xml:space="preserve">Solicitud Permiso Vacunación</t>
  </si>
  <si>
    <t xml:space="preserve">Esta solicitud consta de medio día de permiso, diferenciando jornada Mañana o tarde y debe tener la alternativa de cargar documentos de respaldo</t>
  </si>
  <si>
    <t xml:space="preserve">En implementación</t>
  </si>
  <si>
    <t xml:space="preserve">Solicitud Permiso Ley TEA</t>
  </si>
  <si>
    <t xml:space="preserve">Esta solicitud consta de un formulario con la posibilidad de ingresar día completo o parcial, con hora de inicio y término.
Se deberá constatar que exista registro Ley Tea en los datos del funcionario del módulo de personal
Los datos necesarios para el cumplimiento de la normativa son: 
- Nombre y Rut del funcionario
- selección de la calidad de padre, madre o tutor legal y en este ultimo caso, se debe agregar la opción de la sentencia judicial respecto de la tuición
- Individualización del NNA, señalar diagnóstico, fecha del diagnostico, nombre del médico que realizó el diagnóstico (Datos del Funcionario, módulo de personal). Se debe adjuntar certificado médico con diagnostico y certificado de nacimiento.
- Nombre del establecimiento, curso, dirección y horario de su jornada escolar.
El funcionario deberá avisar a su jefatura mediante llamada, mensaje o presencial, lo que idealmente debe acordarse previamente y lo cual podrá incluirse en el formulario o como un protocolo anexo.
Plazo: 10 días hábiles desde el acontecimiento.
El acontecimiento deberá acreditarse adjuntando constancia del establecimiento, en donde se indique fecha, hora de inicio y término.</t>
  </si>
  <si>
    <t xml:space="preserve">Acción</t>
  </si>
  <si>
    <t xml:space="preserve">Descripcion segun Doc. B</t>
  </si>
  <si>
    <t xml:space="preserve">Perfiles</t>
  </si>
  <si>
    <t xml:space="preserve">Origen Doc. A</t>
  </si>
  <si>
    <t xml:space="preserve">Estado QA</t>
  </si>
  <si>
    <t xml:space="preserve">Solicitudes</t>
  </si>
  <si>
    <t xml:space="preserve">Programación</t>
  </si>
  <si>
    <t xml:space="preserve">RF-001</t>
  </si>
  <si>
    <t xml:space="preserve">Crear solicitud de cupos para uso de campo clínico</t>
  </si>
  <si>
    <t xml:space="preserve">CF</t>
  </si>
  <si>
    <t xml:space="preserve">3.4.2 - 2.1.1</t>
  </si>
  <si>
    <t xml:space="preserve">Validar</t>
  </si>
  <si>
    <t xml:space="preserve">Minsal</t>
  </si>
  <si>
    <t xml:space="preserve">RF-002</t>
  </si>
  <si>
    <t xml:space="preserve">Guardar solicitud como borrador (sin enviar)</t>
  </si>
  <si>
    <t xml:space="preserve">RF-003</t>
  </si>
  <si>
    <t xml:space="preserve">Enviar solicitud de cupos a RAD</t>
  </si>
  <si>
    <t xml:space="preserve">RF-004</t>
  </si>
  <si>
    <t xml:space="preserve">Exportar solicitudes a PDF/Excel</t>
  </si>
  <si>
    <t xml:space="preserve">Construir</t>
  </si>
  <si>
    <t xml:space="preserve">RF-005</t>
  </si>
  <si>
    <t xml:space="preserve">Consultar listado de solicitudes en borrador</t>
  </si>
  <si>
    <t xml:space="preserve">3.4.2 - 2.1.2</t>
  </si>
  <si>
    <t xml:space="preserve">RF-006</t>
  </si>
  <si>
    <t xml:space="preserve">Editar solicitud en borrador</t>
  </si>
  <si>
    <t xml:space="preserve">RF-007</t>
  </si>
  <si>
    <t xml:space="preserve">Descartar solicitud en borrador</t>
  </si>
  <si>
    <t xml:space="preserve">RF-008</t>
  </si>
  <si>
    <t xml:space="preserve">Enviar múltiples solicitudes en bloque</t>
  </si>
  <si>
    <t xml:space="preserve">RF-009</t>
  </si>
  <si>
    <t xml:space="preserve">Consultar solicitudes enviadas con seguimiento de estados</t>
  </si>
  <si>
    <t xml:space="preserve">3.4.2 - 2.1.3</t>
  </si>
  <si>
    <t xml:space="preserve">RF-010</t>
  </si>
  <si>
    <t xml:space="preserve">Ver historial de cambios de una solicitud (trazabilidad)</t>
  </si>
  <si>
    <t xml:space="preserve">RF-011</t>
  </si>
  <si>
    <t xml:space="preserve">Editar y reenviar solicitud rechazada</t>
  </si>
  <si>
    <t xml:space="preserve">RF-012</t>
  </si>
  <si>
    <t xml:space="preserve">Ratificar o rechazar solicitud aprobada por RAD</t>
  </si>
  <si>
    <t xml:space="preserve">RF-013</t>
  </si>
  <si>
    <t xml:space="preserve">Notificar cambios de estado de solicitud por correo</t>
  </si>
  <si>
    <t xml:space="preserve">CF, RAD</t>
  </si>
  <si>
    <t xml:space="preserve">Coordinación</t>
  </si>
  <si>
    <t xml:space="preserve">RF-014</t>
  </si>
  <si>
    <t xml:space="preserve">Listar pasantías aprobadas para coordinación</t>
  </si>
  <si>
    <t xml:space="preserve">3.4.2 - 2.2</t>
  </si>
  <si>
    <t xml:space="preserve">Corregir</t>
  </si>
  <si>
    <t xml:space="preserve">* Cambiar concepto Pasantía por Rotaciones</t>
  </si>
  <si>
    <t xml:space="preserve">RF-015</t>
  </si>
  <si>
    <t xml:space="preserve">Ver detalle completo de solicitud aprobada</t>
  </si>
  <si>
    <t xml:space="preserve">3.4.2 - 2.2.1</t>
  </si>
  <si>
    <t xml:space="preserve">RF-016</t>
  </si>
  <si>
    <t xml:space="preserve">Subir nóminas de estudiantes por rotación (archivo Excel/CSV)</t>
  </si>
  <si>
    <t xml:space="preserve">3.4.2 - 2.2.2</t>
  </si>
  <si>
    <t xml:space="preserve">* Se requiere ajustar para subir un unico archivo, especificando carrera</t>
  </si>
  <si>
    <t xml:space="preserve">RF-017</t>
  </si>
  <si>
    <t xml:space="preserve">Descargar plantilla de nómina con formato estándar</t>
  </si>
  <si>
    <t xml:space="preserve">RF-018</t>
  </si>
  <si>
    <t xml:space="preserve">Validar RUN de estudiantes en nómina</t>
  </si>
  <si>
    <t xml:space="preserve">RF-019</t>
  </si>
  <si>
    <t xml:space="preserve">Alertar subutilización de cupos asignados</t>
  </si>
  <si>
    <t xml:space="preserve">RF-020</t>
  </si>
  <si>
    <t xml:space="preserve">Listar nóminas subidas con estados de documentación</t>
  </si>
  <si>
    <t xml:space="preserve">3.4.2 - 2.2.3</t>
  </si>
  <si>
    <t xml:space="preserve">RF-021</t>
  </si>
  <si>
    <t xml:space="preserve">Consultar vacunas de estudiantes desde PNI (webservice)</t>
  </si>
  <si>
    <t xml:space="preserve">RF-022</t>
  </si>
  <si>
    <t xml:space="preserve">Subir certificados de vacunas individuales (si no están en PNI)</t>
  </si>
  <si>
    <t xml:space="preserve">RF-023</t>
  </si>
  <si>
    <t xml:space="preserve">Subir certificados de IAAS por estudiante</t>
  </si>
  <si>
    <t xml:space="preserve">RF-024</t>
  </si>
  <si>
    <t xml:space="preserve">Listar alumnos de nómina con estado de documentación</t>
  </si>
  <si>
    <t xml:space="preserve">RF-025</t>
  </si>
  <si>
    <t xml:space="preserve">Eliminar nómina cargada (si no ha sido enviada)</t>
  </si>
  <si>
    <t xml:space="preserve">RF-026</t>
  </si>
  <si>
    <t xml:space="preserve">Enviar nómina completa con documentación a RAD</t>
  </si>
  <si>
    <t xml:space="preserve">RF-027</t>
  </si>
  <si>
    <t xml:space="preserve">Registrar docente supervisor con RUT y validación RNPI</t>
  </si>
  <si>
    <t xml:space="preserve">3.4.2 - 2.2.4</t>
  </si>
  <si>
    <t xml:space="preserve">* Falta API</t>
  </si>
  <si>
    <t xml:space="preserve">RF-028</t>
  </si>
  <si>
    <t xml:space="preserve">Consultar títulos profesionales de docente desde RNPI (webservice)</t>
  </si>
  <si>
    <t xml:space="preserve">RF-029</t>
  </si>
  <si>
    <t xml:space="preserve">Bloquear envío de nómina si docente no tiene títulos en RNPI</t>
  </si>
  <si>
    <t xml:space="preserve">RF-030</t>
  </si>
  <si>
    <t xml:space="preserve">Validar ratio docentes/estudiantes según regla definida</t>
  </si>
  <si>
    <t xml:space="preserve">RF-031</t>
  </si>
  <si>
    <t xml:space="preserve">Administrar nóminas creadas</t>
  </si>
  <si>
    <t xml:space="preserve">3.4.2 - 2.2.5</t>
  </si>
  <si>
    <t xml:space="preserve">RF-032</t>
  </si>
  <si>
    <t xml:space="preserve">Subir documentación de pasantía (Programa Académico, Rúbrica)</t>
  </si>
  <si>
    <t xml:space="preserve">3.4.2 - 2.2.6</t>
  </si>
  <si>
    <t xml:space="preserve">Estudiantes</t>
  </si>
  <si>
    <t xml:space="preserve">RF-033</t>
  </si>
  <si>
    <t xml:space="preserve">Carga masiva de matrícula de estudiantes</t>
  </si>
  <si>
    <t xml:space="preserve">3.4.2 - 2.3</t>
  </si>
  <si>
    <t xml:space="preserve">RF-034</t>
  </si>
  <si>
    <t xml:space="preserve">Importar antecedentes de vacunas de estudiantes</t>
  </si>
  <si>
    <t xml:space="preserve">RF-035</t>
  </si>
  <si>
    <t xml:space="preserve">Ver alertas de solicitudes recibidas y pendientes</t>
  </si>
  <si>
    <t xml:space="preserve">3.4.3 - 3.1</t>
  </si>
  <si>
    <t xml:space="preserve">RF-036</t>
  </si>
  <si>
    <t xml:space="preserve">Listar solicitudes pendientes de revisión (grilla)</t>
  </si>
  <si>
    <t xml:space="preserve">3.4.3 - 3.1.1</t>
  </si>
  <si>
    <t xml:space="preserve">RF-037</t>
  </si>
  <si>
    <t xml:space="preserve">Ver detalle de solicitud recibida con opción de observaciones</t>
  </si>
  <si>
    <t xml:space="preserve">RF-038</t>
  </si>
  <si>
    <t xml:space="preserve">Revisar y aprobar solicitud</t>
  </si>
  <si>
    <t xml:space="preserve">RF-039</t>
  </si>
  <si>
    <t xml:space="preserve">Rechazar solicitud con observaciones</t>
  </si>
  <si>
    <t xml:space="preserve">RF-040</t>
  </si>
  <si>
    <t xml:space="preserve">Rechazar solicitud para edición (devolver a CF)</t>
  </si>
  <si>
    <t xml:space="preserve">RF-041</t>
  </si>
  <si>
    <t xml:space="preserve">Derivar solicitud a Jefe de Servicio/Unidad para validación</t>
  </si>
  <si>
    <t xml:space="preserve">RF-042</t>
  </si>
  <si>
    <t xml:space="preserve">Revisar o rechazar múltiples solicitudes en bloque</t>
  </si>
  <si>
    <t xml:space="preserve">RF-043</t>
  </si>
  <si>
    <t xml:space="preserve">Listar solicitudes revisadas (grilla)</t>
  </si>
  <si>
    <t xml:space="preserve">3.4.3 - 3.1.2</t>
  </si>
  <si>
    <t xml:space="preserve">*Requerimiento Duplicado</t>
  </si>
  <si>
    <t xml:space="preserve">RF-044</t>
  </si>
  <si>
    <t xml:space="preserve">Enviar múltiples solicitudes revisadas a etapa de validación</t>
  </si>
  <si>
    <t xml:space="preserve">RF-045</t>
  </si>
  <si>
    <t xml:space="preserve">Listar solicitudes enviadas con estados finales (grilla solo lectura)</t>
  </si>
  <si>
    <t xml:space="preserve">3.4.3 - 3.1.3</t>
  </si>
  <si>
    <t xml:space="preserve">RF-046</t>
  </si>
  <si>
    <t xml:space="preserve">Exportar listado de solicitudes a Excel/PDF</t>
  </si>
  <si>
    <t xml:space="preserve">Validación</t>
  </si>
  <si>
    <t xml:space="preserve">RF-047</t>
  </si>
  <si>
    <t xml:space="preserve">Listar solicitudes derivadas con respuestas de Jefes de Servicio</t>
  </si>
  <si>
    <t xml:space="preserve">3.4.3 - 3.2</t>
  </si>
  <si>
    <t xml:space="preserve">RF-048</t>
  </si>
  <si>
    <t xml:space="preserve">Ver solicitud con observaciones de CF, RAD y Servicio/Unidad</t>
  </si>
  <si>
    <t xml:space="preserve">RF-049</t>
  </si>
  <si>
    <t xml:space="preserve">Aprobar solicitud tras validación de Servicio/Unidad</t>
  </si>
  <si>
    <t xml:space="preserve">RF-050</t>
  </si>
  <si>
    <t xml:space="preserve">Rechazar solicitud tras validación de Servicio/Unidad</t>
  </si>
  <si>
    <t xml:space="preserve">RF-051</t>
  </si>
  <si>
    <t xml:space="preserve">Aprobar múltiples solicitudes validadas en bloque</t>
  </si>
  <si>
    <t xml:space="preserve">RF-052</t>
  </si>
  <si>
    <t xml:space="preserve">Seleccionar año académico para filtrar pasantías</t>
  </si>
  <si>
    <t xml:space="preserve">3.4.3 - 3.3.1</t>
  </si>
  <si>
    <t xml:space="preserve">RF-053</t>
  </si>
  <si>
    <t xml:space="preserve">Listar pasantías aprobadas con documentación asociada</t>
  </si>
  <si>
    <t xml:space="preserve">RF-054</t>
  </si>
  <si>
    <t xml:space="preserve">Ver documentos de pasantía (Programa Académico, Rúbrica)</t>
  </si>
  <si>
    <t xml:space="preserve">RF-055</t>
  </si>
  <si>
    <t xml:space="preserve">Ver documentos de nóminas (certificados vacunas, IAAS)</t>
  </si>
  <si>
    <t xml:space="preserve">RF-056</t>
  </si>
  <si>
    <t xml:space="preserve">Rechazar nóminas con documentación incompleta</t>
  </si>
  <si>
    <t xml:space="preserve">RF-057</t>
  </si>
  <si>
    <t xml:space="preserve">Consultar historial de pasantías por periodo</t>
  </si>
  <si>
    <t xml:space="preserve">3.4.3 - 3.3.2</t>
  </si>
  <si>
    <t xml:space="preserve">RF-058</t>
  </si>
  <si>
    <t xml:space="preserve">Ver detalle de solicitud histórica</t>
  </si>
  <si>
    <t xml:space="preserve">RF-059</t>
  </si>
  <si>
    <t xml:space="preserve">Administrar rotaciones de pasantía</t>
  </si>
  <si>
    <t xml:space="preserve">RF-060</t>
  </si>
  <si>
    <t xml:space="preserve">Ver alumnos de nómina con estados de vacunas e IAAS</t>
  </si>
  <si>
    <t xml:space="preserve">RF-061</t>
  </si>
  <si>
    <t xml:space="preserve">Descargar certificados de documentación</t>
  </si>
  <si>
    <t xml:space="preserve">Convenios</t>
  </si>
  <si>
    <t xml:space="preserve">RF-062</t>
  </si>
  <si>
    <t xml:space="preserve">Listar convenios asistenciales docentes</t>
  </si>
  <si>
    <t xml:space="preserve">3.4.3 - 3.4</t>
  </si>
  <si>
    <t xml:space="preserve">RF-063</t>
  </si>
  <si>
    <t xml:space="preserve">Crear nuevo convenio asistencial docente</t>
  </si>
  <si>
    <t xml:space="preserve">RF-064</t>
  </si>
  <si>
    <t xml:space="preserve">Ver detalle de convenio</t>
  </si>
  <si>
    <t xml:space="preserve">RF-065</t>
  </si>
  <si>
    <t xml:space="preserve">Editar convenio existente</t>
  </si>
  <si>
    <t xml:space="preserve">RF-066</t>
  </si>
  <si>
    <t xml:space="preserve">Eliminar convenio</t>
  </si>
  <si>
    <t xml:space="preserve">RF-067</t>
  </si>
  <si>
    <t xml:space="preserve">Registrar carreras asociadas a convenio</t>
  </si>
  <si>
    <t xml:space="preserve">RF-068</t>
  </si>
  <si>
    <t xml:space="preserve">Marcar convenio como prioritario y/o exclusivo</t>
  </si>
  <si>
    <t xml:space="preserve">RF-069</t>
  </si>
  <si>
    <t xml:space="preserve">Adjuntar documento PDF de convenio</t>
  </si>
  <si>
    <t xml:space="preserve">RF-070</t>
  </si>
  <si>
    <t xml:space="preserve">Mismas funcionalidades de RAD para revisar solicitudes</t>
  </si>
  <si>
    <t xml:space="preserve">JS</t>
  </si>
  <si>
    <t xml:space="preserve">3.4.4</t>
  </si>
  <si>
    <t xml:space="preserve">Calendario</t>
  </si>
  <si>
    <t xml:space="preserve">RF-071</t>
  </si>
  <si>
    <t xml:space="preserve">Ver programación de actividad docente en calendario mensual</t>
  </si>
  <si>
    <t xml:space="preserve">JS, RAD, CF</t>
  </si>
  <si>
    <t xml:space="preserve">3.4.4 - 4.1</t>
  </si>
  <si>
    <t xml:space="preserve">RF-072</t>
  </si>
  <si>
    <t xml:space="preserve">Ver programación de actividad docente en calendario semanal</t>
  </si>
  <si>
    <t xml:space="preserve">RF-073</t>
  </si>
  <si>
    <t xml:space="preserve">Ver programación de actividad docente en calendario diario</t>
  </si>
  <si>
    <t xml:space="preserve">RF-074</t>
  </si>
  <si>
    <t xml:space="preserve">Ver programación de actividad docente tipo agenda</t>
  </si>
  <si>
    <t xml:space="preserve">RF-075</t>
  </si>
  <si>
    <t xml:space="preserve">Ver detalle completo de actividad docente</t>
  </si>
  <si>
    <t xml:space="preserve">Mantenedores</t>
  </si>
  <si>
    <t xml:space="preserve">RF-076</t>
  </si>
  <si>
    <t xml:space="preserve">CRUD de Año Académico</t>
  </si>
  <si>
    <t xml:space="preserve">ADM</t>
  </si>
  <si>
    <t xml:space="preserve">3.4.5 - 5</t>
  </si>
  <si>
    <t xml:space="preserve">RF-077</t>
  </si>
  <si>
    <t xml:space="preserve">CRUD de Centros Formadores (Institución)</t>
  </si>
  <si>
    <t xml:space="preserve">RF-078</t>
  </si>
  <si>
    <t xml:space="preserve">CRUD de Carreras (Denominación Local y Homologada)</t>
  </si>
  <si>
    <t xml:space="preserve">RF-079</t>
  </si>
  <si>
    <t xml:space="preserve">CRUD de Niveles (Año)</t>
  </si>
  <si>
    <t xml:space="preserve">RF-080</t>
  </si>
  <si>
    <t xml:space="preserve">CRUD de Tipo Práctica</t>
  </si>
  <si>
    <t xml:space="preserve">RF-081</t>
  </si>
  <si>
    <t xml:space="preserve">CRUD de Asignaturas</t>
  </si>
  <si>
    <t xml:space="preserve">RF-082</t>
  </si>
  <si>
    <t xml:space="preserve">CRUD de Servicios</t>
  </si>
  <si>
    <t xml:space="preserve">RF-083</t>
  </si>
  <si>
    <t xml:space="preserve">CRUD de Unidades</t>
  </si>
  <si>
    <t xml:space="preserve">RF-084</t>
  </si>
  <si>
    <t xml:space="preserve">CRUD de Ambulatorio/Hospitalizado</t>
  </si>
  <si>
    <t xml:space="preserve">Integraciones Externas</t>
  </si>
  <si>
    <t xml:space="preserve">PNI (Programa Nacional de Inmunizaciones)</t>
  </si>
  <si>
    <t xml:space="preserve">Consulta de certificados de vacunas (Hepatitis B, Influenza, COVID)</t>
  </si>
  <si>
    <t xml:space="preserve">RNPI (Registro Nacional de Prestadores Individuales)</t>
  </si>
  <si>
    <t xml:space="preserve">RF-028, RF-029</t>
  </si>
  <si>
    <t xml:space="preserve">Validación de títulos profesionales de docentes supervisores</t>
  </si>
  <si>
    <t xml:space="preserve">Clave Única</t>
  </si>
  <si>
    <t xml:space="preserve">Todos (autenticación)</t>
  </si>
  <si>
    <t xml:space="preserve">Sistema de autenticación única del Estado de Chile</t>
  </si>
  <si>
    <t xml:space="preserve">* Restricción de utilizar solo en productivo</t>
  </si>
  <si>
    <t xml:space="preserve">Requerimiento</t>
  </si>
  <si>
    <t xml:space="preserve">Forma de Entrega</t>
  </si>
  <si>
    <t xml:space="preserve">LM</t>
  </si>
  <si>
    <t xml:space="preserve">GDP-03-01 </t>
  </si>
  <si>
    <t xml:space="preserve">Registro o carga de Licencia Médica  </t>
  </si>
  <si>
    <t xml:space="preserve">GDP-03-02 </t>
  </si>
  <si>
    <t xml:space="preserve">Emitir reporte con rentas bases y cálculo subsidio por Licencia Médica </t>
  </si>
  <si>
    <t xml:space="preserve">GDP-03-03 </t>
  </si>
  <si>
    <t xml:space="preserve">Emitir oficio con licencias a ISAPRE o COMPIN, según norma.  </t>
  </si>
  <si>
    <t xml:space="preserve">GDP-03-04 </t>
  </si>
  <si>
    <t xml:space="preserve">Emitir reporte de licencias pendiente de envió a ISAPRE o COMPIN </t>
  </si>
  <si>
    <t xml:space="preserve">GDP-03-05 </t>
  </si>
  <si>
    <t xml:space="preserve">Registro o carga de resolución Licencia Médica (ISAPRE o COMPIN) y cambio de estado (Autorizada, reducida o rechazada). Si es continua o no. </t>
  </si>
  <si>
    <t xml:space="preserve">GDP-03-06 </t>
  </si>
  <si>
    <t xml:space="preserve">Recalculo de subsidio de licencias continuas. </t>
  </si>
  <si>
    <t xml:space="preserve">GDP-03-07 </t>
  </si>
  <si>
    <t xml:space="preserve">Notificar rechazo o reducción de Licencias Médicas al funcionario.  </t>
  </si>
  <si>
    <t xml:space="preserve">GDP-03-08 </t>
  </si>
  <si>
    <t xml:space="preserve">Registro apelación resolución LM a COMPIN/SUSESO. </t>
  </si>
  <si>
    <t xml:space="preserve">GDP-03-09 </t>
  </si>
  <si>
    <t xml:space="preserve">Registro resolución apelación. </t>
  </si>
  <si>
    <t xml:space="preserve">GDP-03-10 </t>
  </si>
  <si>
    <t xml:space="preserve">Confirmar días a descontar, en caso de no registrar instancia de apelación o en caso ratificar el rechazo o reducción en la etapa de apelación por parte de (COMPIN/SUSESO).  Notificar al funcionario que se procederá con el descuento y al área de remuneraciones, para que informe instancia de pronunciamiento de CGR respecto a facilidades de pago del reintegro correspondiente. </t>
  </si>
  <si>
    <t xml:space="preserve">GDP-03-11 </t>
  </si>
  <si>
    <t xml:space="preserve">Remitir licencias a Finanzas en forma periódica. </t>
  </si>
  <si>
    <t xml:space="preserve">GDP-03-12 </t>
  </si>
  <si>
    <t xml:space="preserve">Emitir resolución de ausentismo por Licencia Médica vía interoperabilidad en SIAPER. </t>
  </si>
  <si>
    <t xml:space="preserve">GDP-03-13 </t>
  </si>
  <si>
    <t xml:space="preserve">Registro o carga de recuperación de Licencia Médica  </t>
  </si>
  <si>
    <t xml:space="preserve">GDP-03-14 </t>
  </si>
  <si>
    <t xml:space="preserve">Emitir reporte seguimiento de estado de resolución de licencias médicas (COMPIN o ISAPRE/SUSESO).  </t>
  </si>
  <si>
    <t xml:space="preserve">GDP-03-15 </t>
  </si>
  <si>
    <t xml:space="preserve">Emitir reporte de estado de recuperación de licencias médicas (FONASA o ISAPRE), que incorpore recalculo de licencias continuas. </t>
  </si>
  <si>
    <t xml:space="preserve">GDP-03-16 </t>
  </si>
  <si>
    <t xml:space="preserve">Emitir reporte con funcionarios de mayor o igual a 180 días dentro de los 24 meses anteriores, a la fecha que se emita el informe. </t>
  </si>
  <si>
    <t xml:space="preserve">GDP-03-17 </t>
  </si>
  <si>
    <t xml:space="preserve">Emitir oficio a COMPIN, para pronunciamiento respecto de la recuperabilidad del funcionario.
- Registro resolución de COMPIN. 
- Emitir Resolución Salud Incompatible 
- Emitir Resolución de Salud No recuperable. 
- Emitir informe que permita seguimiento de los oficios y los pronunciamientos de la COMPIN asociados. </t>
  </si>
  <si>
    <t xml:space="preserve">Proceso Calificatorio Ley 18.834</t>
  </si>
  <si>
    <t xml:space="preserve">GDE-02-01 </t>
  </si>
  <si>
    <t xml:space="preserve">Confeccionar listado de miembros de la junta calificadora </t>
  </si>
  <si>
    <t xml:space="preserve">GDE-02-02 </t>
  </si>
  <si>
    <t xml:space="preserve">Emitir resolución de la junta calificadora </t>
  </si>
  <si>
    <t xml:space="preserve">GDE-02-03 </t>
  </si>
  <si>
    <t xml:space="preserve">Registrar y acceder a antecedentes para diseñar y programar el proceso calificatorio (Nómina de Integrantes Junta Calificadora por Estamento, Normativa Vigente, Nómina de Personal con Requisito Calificación, Parámetros calificatorios y coeficientes)  </t>
  </si>
  <si>
    <t xml:space="preserve">GDE-02-04 </t>
  </si>
  <si>
    <t xml:space="preserve">Emitir informes de antecedentes del funcionario afectos al proceso calificatorio. </t>
  </si>
  <si>
    <t xml:space="preserve">GDE-02-05 </t>
  </si>
  <si>
    <t xml:space="preserve">Emitir informes de evaluaciones anteriores que han tenido los funcionarios. </t>
  </si>
  <si>
    <t xml:space="preserve">GDE-02-06 </t>
  </si>
  <si>
    <t xml:space="preserve">Registrar o ingresar las precalificaciones. </t>
  </si>
  <si>
    <t xml:space="preserve">GDE-02-07 </t>
  </si>
  <si>
    <t xml:space="preserve">Emitir nómina de notificación de precalificaciones y calificaciones del proceso.  </t>
  </si>
  <si>
    <t xml:space="preserve">GDE-02-08 </t>
  </si>
  <si>
    <t xml:space="preserve">Registrar y verificar el estado de solicitudes de apelación.  </t>
  </si>
  <si>
    <t xml:space="preserve">GDE-02-09 </t>
  </si>
  <si>
    <t xml:space="preserve">Emitir nómina de resultado de apelaciones. </t>
  </si>
  <si>
    <t xml:space="preserve">GDE-02-10 </t>
  </si>
  <si>
    <t xml:space="preserve">Emitir informe de estado de avance del proceso de calificaciones </t>
  </si>
  <si>
    <t xml:space="preserve">GDE-02-11 </t>
  </si>
  <si>
    <t xml:space="preserve">mantener o actualizar las precalificaciones </t>
  </si>
  <si>
    <t xml:space="preserve">GDE-02-12 </t>
  </si>
  <si>
    <t xml:space="preserve">Registrar y acceder al informe con resultados del proceso.  </t>
  </si>
  <si>
    <t xml:space="preserve">GDE-02-13 </t>
  </si>
  <si>
    <t xml:space="preserve">Registrar resultados en hoja de vida del funcionario.   </t>
  </si>
  <si>
    <t xml:space="preserve">GDE-02-14 </t>
  </si>
  <si>
    <t xml:space="preserve">El ingreso y acceso a antecedentes del funcionario, informes de desempeño y de calificaciones.  </t>
  </si>
  <si>
    <t xml:space="preserve">Proceso Calificatorio FONASA</t>
  </si>
  <si>
    <t xml:space="preserve">GDE-03-01 </t>
  </si>
  <si>
    <t xml:space="preserve">GDE-03-02 </t>
  </si>
  <si>
    <t xml:space="preserve">Registrar y emitir acta y/o bitácoras de la junta calificadora </t>
  </si>
  <si>
    <t xml:space="preserve">GDE-03-03 </t>
  </si>
  <si>
    <t xml:space="preserve">GDE-03-04 </t>
  </si>
  <si>
    <t xml:space="preserve">Emitir formulario de precalificaciones en blanco. </t>
  </si>
  <si>
    <t xml:space="preserve">GDE-03-05 </t>
  </si>
  <si>
    <t xml:space="preserve">GDE-03-06 </t>
  </si>
  <si>
    <t xml:space="preserve">Registrar auto-evaluaciones realizados por parte de los funcionarios </t>
  </si>
  <si>
    <t xml:space="preserve">GDE-03-07 </t>
  </si>
  <si>
    <t xml:space="preserve">GDE-03-08 </t>
  </si>
  <si>
    <t xml:space="preserve">GDE-03-09 </t>
  </si>
  <si>
    <t xml:space="preserve">GDE-03-10 </t>
  </si>
  <si>
    <t xml:space="preserve">GDE-03-11 </t>
  </si>
  <si>
    <t xml:space="preserve">Mantener o actualizar las precalificaciones </t>
  </si>
  <si>
    <t xml:space="preserve">GDE-03-12 </t>
  </si>
  <si>
    <t xml:space="preserve">GDE-03-13 </t>
  </si>
  <si>
    <t xml:space="preserve">GDE-03-14 </t>
  </si>
  <si>
    <t xml:space="preserve">Proceso Calificatorio Ley Médica</t>
  </si>
  <si>
    <t xml:space="preserve">GDE-04-01 </t>
  </si>
  <si>
    <t xml:space="preserve">GDE-04-02 </t>
  </si>
  <si>
    <t xml:space="preserve">GDE-04-03 </t>
  </si>
  <si>
    <t xml:space="preserve">Registrar y acceder a antecedentes para diseñar y programar el proceso calificatorio (Nómina de Integrantes Junta Calificadora por Estamento, Normativa Vigente, Nómina de Personal con Requisito Calificación, Parámetros calificatorios y coeficientes). </t>
  </si>
  <si>
    <t xml:space="preserve">GDE-04-04 </t>
  </si>
  <si>
    <t xml:space="preserve">GDE-04-05 </t>
  </si>
  <si>
    <t xml:space="preserve">GDE-04-06 </t>
  </si>
  <si>
    <t xml:space="preserve">Emitir formulario de precalificaciones en blanco </t>
  </si>
  <si>
    <t xml:space="preserve">GDE-04-07 </t>
  </si>
  <si>
    <t xml:space="preserve">GDE-04-08 </t>
  </si>
  <si>
    <t xml:space="preserve">GDE-04-09 </t>
  </si>
  <si>
    <t xml:space="preserve">GDE-04-10 </t>
  </si>
  <si>
    <t xml:space="preserve">GDE-04-11 </t>
  </si>
  <si>
    <t xml:space="preserve">GDE-04-12 </t>
  </si>
  <si>
    <t xml:space="preserve">GDE-04-13 </t>
  </si>
  <si>
    <t xml:space="preserve">GDE-04-14 </t>
  </si>
  <si>
    <t xml:space="preserve">GDE-04-15 </t>
  </si>
  <si>
    <t xml:space="preserve">Registrar ingreso y acceso a antecedentes del funcionario, informes de desempeño y de calificaciones.  </t>
  </si>
  <si>
    <t xml:space="preserve">Tablas de referencia y Glosario</t>
  </si>
  <si>
    <t xml:space="preserve">Tipo de Contrato</t>
  </si>
  <si>
    <t xml:space="preserve">Módulos del Proyecto</t>
  </si>
  <si>
    <t xml:space="preserve">Etapas del Ciclo de Vida</t>
  </si>
  <si>
    <t xml:space="preserve">•  Horas Fijas</t>
  </si>
  <si>
    <t xml:space="preserve">•  AutoAtención</t>
  </si>
  <si>
    <t xml:space="preserve">•  1. Preparación</t>
  </si>
  <si>
    <t xml:space="preserve">•  On Demand</t>
  </si>
  <si>
    <t xml:space="preserve">•  Licencias Médicas</t>
  </si>
  <si>
    <t xml:space="preserve">•  2. Definición Funcional</t>
  </si>
  <si>
    <t xml:space="preserve">•  Contrato</t>
  </si>
  <si>
    <t xml:space="preserve">•  Forcap</t>
  </si>
  <si>
    <t xml:space="preserve">•  3. Diseño</t>
  </si>
  <si>
    <t xml:space="preserve">•  Calificaciones</t>
  </si>
  <si>
    <t xml:space="preserve">•  4. Planificación</t>
  </si>
  <si>
    <t xml:space="preserve">•  RAD</t>
  </si>
  <si>
    <t xml:space="preserve">•  5. Construcción</t>
  </si>
  <si>
    <t xml:space="preserve">•  VALS</t>
  </si>
  <si>
    <t xml:space="preserve">•  6. Validación</t>
  </si>
  <si>
    <t xml:space="preserve">•  Portal SIRH</t>
  </si>
  <si>
    <t xml:space="preserve">•  7. Aseguramiento</t>
  </si>
  <si>
    <t xml:space="preserve">•  Observatorio</t>
  </si>
  <si>
    <t xml:space="preserve">•  8. Adopción</t>
  </si>
  <si>
    <t xml:space="preserve">•  9. Operación</t>
  </si>
  <si>
    <t xml:space="preserve">•  10. Mejora Continua</t>
  </si>
  <si>
    <t xml:space="preserve">Glosario</t>
  </si>
  <si>
    <t xml:space="preserve">Término</t>
  </si>
  <si>
    <t xml:space="preserve">Definición</t>
  </si>
  <si>
    <t xml:space="preserve">AS - IS</t>
  </si>
  <si>
    <t xml:space="preserve">Como es (Estado Actual)</t>
  </si>
  <si>
    <t xml:space="preserve">TO - BE</t>
  </si>
  <si>
    <t xml:space="preserve">Como queremos que sea (estado Futuro)</t>
  </si>
  <si>
    <t xml:space="preserve">Backlog</t>
  </si>
  <si>
    <t xml:space="preserve">Registro organizado y priorizado de los requerimientos, funcionalidades, mejoras y otras iniciativas identificadas para el proyecto, que constituye la base para planificar y gestionar el desarrollo incremental de la solución.</t>
  </si>
  <si>
    <t xml:space="preserve">Responsable Estrategico</t>
  </si>
  <si>
    <t xml:space="preserve">Área o persona a cargo</t>
  </si>
  <si>
    <t xml:space="preserve">Responsable Funcional</t>
  </si>
  <si>
    <t xml:space="preserve">Analista Depto. SIRH</t>
  </si>
  <si>
    <t xml:space="preserve">Equipo Funcional</t>
  </si>
  <si>
    <t xml:space="preserve">Integrantes mesa técnica</t>
  </si>
  <si>
    <t xml:space="preserve">Equipó Técnico</t>
  </si>
  <si>
    <t xml:space="preserve">Proveedor</t>
  </si>
  <si>
    <t xml:space="preserve">Key Users</t>
  </si>
  <si>
    <t xml:space="preserve">Actores claves para un proyecto</t>
  </si>
  <si>
    <t xml:space="preserve">Herramienta de gestión de proyectos que se utiliza para asignar y definir los roles y responsabilidades de cada persona en las tareas o entregables de un proceso. [1, 2, 3, 4]</t>
  </si>
  <si>
    <t xml:space="preserve">R (Responsible)</t>
  </si>
  <si>
    <t xml:space="preserve">Responsable: Ejecuta la actividad.</t>
  </si>
  <si>
    <t xml:space="preserve">A (Accountable)</t>
  </si>
  <si>
    <t xml:space="preserve">Autoridad o dueño del proceso: : Aprueba y es responsable final del resultado.</t>
  </si>
  <si>
    <t xml:space="preserve">C (Consulted)</t>
  </si>
  <si>
    <t xml:space="preserve">Consultado: Participa entregando opinión o validación.</t>
  </si>
  <si>
    <t xml:space="preserve">I (Informed)</t>
  </si>
  <si>
    <t xml:space="preserve">Informado: Debe mantenerse informado.</t>
  </si>
  <si>
    <t xml:space="preserve">Faltan datos para planificar la actividad.</t>
  </si>
  <si>
    <t xml:space="preserve">Existe inicio real pero no se ha definido la fecha máxima</t>
  </si>
  <si>
    <t xml:space="preserve">La actividad aún no debe comenzar.</t>
  </si>
  <si>
    <t xml:space="preserve">Debió comenzar, pero no registra inicio.</t>
  </si>
  <si>
    <t xml:space="preserve">Ya inició y lo hizo antes de la Fecha Inicio Programada.</t>
  </si>
  <si>
    <t xml:space="preserve">Está siendo ejecutada dentro del plazo.</t>
  </si>
  <si>
    <t xml:space="preserve">Ya inició, pero después de la Fecha Inicio Programada (aún dentro del plazo).</t>
  </si>
  <si>
    <t xml:space="preserve">Está en ejecución y superó la fecha máxima.</t>
  </si>
  <si>
    <t xml:space="preserve">Terminó dentro del plazo.</t>
  </si>
  <si>
    <t xml:space="preserve">Terminó antes de la Fecha Fin Máxima.</t>
  </si>
  <si>
    <t xml:space="preserve">Terminó, pero fuera del plazo establecido.</t>
  </si>
  <si>
    <t xml:space="preserve">Matriz RACI — ejemplo (R=Responsable · A=Aprobador · C=Consultado · I=Informado)</t>
  </si>
  <si>
    <t xml:space="preserve">Actividad</t>
  </si>
  <si>
    <t xml:space="preserve">Resp. Estratégico</t>
  </si>
  <si>
    <t xml:space="preserve">Resp. Funcional</t>
  </si>
  <si>
    <t xml:space="preserve">Equipo Técnico</t>
  </si>
  <si>
    <t xml:space="preserve">Constitución del proyecto</t>
  </si>
  <si>
    <t xml:space="preserve">A</t>
  </si>
  <si>
    <t xml:space="preserve">R</t>
  </si>
  <si>
    <t xml:space="preserve">C</t>
  </si>
  <si>
    <t xml:space="preserve">Priorización del backlog</t>
  </si>
  <si>
    <t xml:space="preserve">A/R</t>
  </si>
  <si>
    <t xml:space="preserve">Desarrollo</t>
  </si>
  <si>
    <t xml:space="preserve">Validación funcional</t>
  </si>
  <si>
    <t xml:space="preserve">Gestión del cambio</t>
  </si>
  <si>
    <t xml:space="preserve">Paso a producción</t>
  </si>
</sst>
</file>

<file path=xl/styles.xml><?xml version="1.0" encoding="utf-8"?>
<styleSheet xmlns="http://schemas.openxmlformats.org/spreadsheetml/2006/main">
  <numFmts count="5">
    <numFmt numFmtId="164" formatCode="General"/>
    <numFmt numFmtId="165" formatCode="0.0%"/>
    <numFmt numFmtId="166" formatCode="General"/>
    <numFmt numFmtId="167" formatCode="dd/mm/yyyy"/>
    <numFmt numFmtId="168" formatCode="yyyy\-mm\-dd\ h:mm:ss"/>
  </numFmts>
  <fonts count="41">
    <font>
      <sz val="11"/>
      <color theme="1"/>
      <name val="Calibri"/>
      <family val="2"/>
      <charset val="1"/>
    </font>
    <font>
      <sz val="10"/>
      <name val="Arial"/>
      <family val="0"/>
    </font>
    <font>
      <sz val="10"/>
      <name val="Arial"/>
      <family val="0"/>
    </font>
    <font>
      <sz val="10"/>
      <name val="Arial"/>
      <family val="0"/>
    </font>
    <font>
      <b val="true"/>
      <sz val="20"/>
      <color rgb="FF132C4C"/>
      <name val="Arial"/>
      <family val="0"/>
      <charset val="1"/>
    </font>
    <font>
      <b val="true"/>
      <sz val="8.5"/>
      <color rgb="FF898781"/>
      <name val="Arial"/>
      <family val="0"/>
      <charset val="1"/>
    </font>
    <font>
      <sz val="10"/>
      <color rgb="FF52514E"/>
      <name val="Arial"/>
      <family val="0"/>
      <charset val="1"/>
    </font>
    <font>
      <b val="true"/>
      <sz val="11"/>
      <color rgb="FF132C4C"/>
      <name val="Arial"/>
      <family val="0"/>
      <charset val="1"/>
    </font>
    <font>
      <b val="true"/>
      <sz val="10"/>
      <color rgb="FF0B0B0B"/>
      <name val="Arial"/>
      <family val="0"/>
      <charset val="1"/>
    </font>
    <font>
      <sz val="12"/>
      <color rgb="FF2A78D6"/>
      <name val="Arial"/>
      <family val="0"/>
      <charset val="1"/>
    </font>
    <font>
      <b val="true"/>
      <sz val="12.5"/>
      <color rgb="FF132C4C"/>
      <name val="Arial"/>
      <family val="0"/>
      <charset val="1"/>
    </font>
    <font>
      <i val="true"/>
      <sz val="9"/>
      <color rgb="FF898781"/>
      <name val="Arial"/>
      <family val="0"/>
      <charset val="1"/>
    </font>
    <font>
      <b val="true"/>
      <sz val="9"/>
      <color rgb="FF52514E"/>
      <name val="Arial"/>
      <family val="0"/>
      <charset val="1"/>
    </font>
    <font>
      <b val="true"/>
      <sz val="22"/>
      <color rgb="FF132C4C"/>
      <name val="Arial"/>
      <family val="0"/>
      <charset val="1"/>
    </font>
    <font>
      <b val="true"/>
      <sz val="22"/>
      <color rgb="FF0CA30C"/>
      <name val="Arial"/>
      <family val="0"/>
      <charset val="1"/>
    </font>
    <font>
      <b val="true"/>
      <sz val="22"/>
      <color rgb="FF2A78D6"/>
      <name val="Arial"/>
      <family val="0"/>
      <charset val="1"/>
    </font>
    <font>
      <b val="true"/>
      <sz val="22"/>
      <color rgb="FFD03B3B"/>
      <name val="Arial"/>
      <family val="0"/>
      <charset val="1"/>
    </font>
    <font>
      <b val="true"/>
      <sz val="22"/>
      <color rgb="FFC98500"/>
      <name val="Arial"/>
      <family val="0"/>
      <charset val="1"/>
    </font>
    <font>
      <b val="true"/>
      <sz val="22"/>
      <color rgb="FF6B6B66"/>
      <name val="Arial"/>
      <family val="0"/>
      <charset val="1"/>
    </font>
    <font>
      <sz val="12"/>
      <color rgb="FF0CA30C"/>
      <name val="Arial"/>
      <family val="0"/>
      <charset val="1"/>
    </font>
    <font>
      <sz val="12"/>
      <color rgb="FF4A3AA7"/>
      <name val="Arial"/>
      <family val="0"/>
      <charset val="1"/>
    </font>
    <font>
      <b val="true"/>
      <sz val="9.5"/>
      <color rgb="FF52514E"/>
      <name val="Arial"/>
      <family val="0"/>
      <charset val="1"/>
    </font>
    <font>
      <b val="true"/>
      <sz val="10"/>
      <color rgb="FF0CA30C"/>
      <name val="Arial"/>
      <family val="0"/>
      <charset val="1"/>
    </font>
    <font>
      <b val="true"/>
      <sz val="10"/>
      <color rgb="FFC98500"/>
      <name val="Arial"/>
      <family val="0"/>
      <charset val="1"/>
    </font>
    <font>
      <i val="true"/>
      <sz val="8"/>
      <color rgb="FF898781"/>
      <name val="Arial"/>
      <family val="0"/>
      <charset val="1"/>
    </font>
    <font>
      <sz val="10"/>
      <color rgb="FF000000"/>
      <name val="Calibri"/>
      <family val="2"/>
    </font>
    <font>
      <b val="true"/>
      <sz val="13"/>
      <color rgb="FFFFFFFF"/>
      <name val="Arial"/>
      <family val="0"/>
      <charset val="1"/>
    </font>
    <font>
      <b val="true"/>
      <sz val="9.5"/>
      <color rgb="FFFFFFFF"/>
      <name val="Arial"/>
      <family val="0"/>
      <charset val="1"/>
    </font>
    <font>
      <sz val="10"/>
      <color rgb="FF0B0B0B"/>
      <name val="Arial"/>
      <family val="0"/>
      <charset val="1"/>
    </font>
    <font>
      <b val="true"/>
      <sz val="10"/>
      <color rgb="FF2A78D6"/>
      <name val="Arial"/>
      <family val="0"/>
      <charset val="1"/>
    </font>
    <font>
      <sz val="9.5"/>
      <color rgb="FF0B0B0B"/>
      <name val="Arial"/>
      <family val="0"/>
      <charset val="1"/>
    </font>
    <font>
      <sz val="9.5"/>
      <color rgb="FF52514E"/>
      <name val="Arial"/>
      <family val="0"/>
      <charset val="1"/>
    </font>
    <font>
      <b val="true"/>
      <sz val="9.5"/>
      <color rgb="FF2A78D6"/>
      <name val="Arial"/>
      <family val="0"/>
      <charset val="1"/>
    </font>
    <font>
      <sz val="10"/>
      <color rgb="FF2A78D6"/>
      <name val="Arial"/>
      <family val="0"/>
      <charset val="1"/>
    </font>
    <font>
      <b val="true"/>
      <sz val="10"/>
      <color rgb="FFFFFFFF"/>
      <name val="Arial"/>
      <family val="0"/>
      <charset val="1"/>
    </font>
    <font>
      <b val="true"/>
      <sz val="9.5"/>
      <color rgb="FF0B0B0B"/>
      <name val="Arial"/>
      <family val="0"/>
      <charset val="1"/>
    </font>
    <font>
      <b val="true"/>
      <sz val="15"/>
      <color rgb="FF132C4C"/>
      <name val="Arial"/>
      <family val="0"/>
      <charset val="1"/>
    </font>
    <font>
      <b val="true"/>
      <sz val="10.5"/>
      <color rgb="FFFFFFFF"/>
      <name val="Arial"/>
      <family val="0"/>
      <charset val="1"/>
    </font>
    <font>
      <b val="true"/>
      <sz val="12"/>
      <color rgb="FF132C4C"/>
      <name val="Arial"/>
      <family val="0"/>
      <charset val="1"/>
    </font>
    <font>
      <b val="true"/>
      <sz val="10"/>
      <color rgb="FFD03B3B"/>
      <name val="Arial"/>
      <family val="0"/>
      <charset val="1"/>
    </font>
    <font>
      <b val="true"/>
      <sz val="10"/>
      <color rgb="FF898781"/>
      <name val="Arial"/>
      <family val="0"/>
      <charset val="1"/>
    </font>
  </fonts>
  <fills count="18">
    <fill>
      <patternFill patternType="none"/>
    </fill>
    <fill>
      <patternFill patternType="gray125"/>
    </fill>
    <fill>
      <patternFill patternType="solid">
        <fgColor rgb="FF132C4C"/>
        <bgColor rgb="FF333300"/>
      </patternFill>
    </fill>
    <fill>
      <patternFill patternType="solid">
        <fgColor rgb="FFF9F9F7"/>
        <bgColor rgb="FFF6F6F3"/>
      </patternFill>
    </fill>
    <fill>
      <patternFill patternType="solid">
        <fgColor rgb="FFFFFFFF"/>
        <bgColor rgb="FFF9F9F7"/>
      </patternFill>
    </fill>
    <fill>
      <patternFill patternType="solid">
        <fgColor rgb="FF0CA30C"/>
        <bgColor rgb="FF1BAF7A"/>
      </patternFill>
    </fill>
    <fill>
      <patternFill patternType="solid">
        <fgColor rgb="FF2A78D6"/>
        <bgColor rgb="FF4F81BD"/>
      </patternFill>
    </fill>
    <fill>
      <patternFill patternType="solid">
        <fgColor rgb="FFD03B3B"/>
        <bgColor rgb="FF993366"/>
      </patternFill>
    </fill>
    <fill>
      <patternFill patternType="solid">
        <fgColor rgb="FFC98500"/>
        <bgColor rgb="FFEB6834"/>
      </patternFill>
    </fill>
    <fill>
      <patternFill patternType="solid">
        <fgColor rgb="FF6B6B66"/>
        <bgColor rgb="FF52514E"/>
      </patternFill>
    </fill>
    <fill>
      <patternFill patternType="solid">
        <fgColor rgb="FFE7E9EC"/>
        <bgColor rgb="FFEEEEEA"/>
      </patternFill>
    </fill>
    <fill>
      <patternFill patternType="solid">
        <fgColor rgb="FFDFF5DF"/>
        <bgColor rgb="FFD7F3E9"/>
      </patternFill>
    </fill>
    <fill>
      <patternFill patternType="solid">
        <fgColor rgb="FFDCE9FA"/>
        <bgColor rgb="FFE7E9EC"/>
      </patternFill>
    </fill>
    <fill>
      <patternFill patternType="solid">
        <fgColor rgb="FFFBE0E0"/>
        <bgColor rgb="FFFCE4D8"/>
      </patternFill>
    </fill>
    <fill>
      <patternFill patternType="solid">
        <fgColor rgb="FFFFF1D6"/>
        <bgColor rgb="FFFCE4D8"/>
      </patternFill>
    </fill>
    <fill>
      <patternFill patternType="solid">
        <fgColor rgb="FFEEEEEA"/>
        <bgColor rgb="FFF3F3F0"/>
      </patternFill>
    </fill>
    <fill>
      <patternFill patternType="solid">
        <fgColor rgb="FFF3F3F0"/>
        <bgColor rgb="FFF6F6F3"/>
      </patternFill>
    </fill>
    <fill>
      <patternFill patternType="solid">
        <fgColor rgb="FFF6F6F3"/>
        <bgColor rgb="FFF3F3F0"/>
      </patternFill>
    </fill>
  </fills>
  <borders count="20">
    <border diagonalUp="false" diagonalDown="false">
      <left/>
      <right/>
      <top/>
      <bottom/>
      <diagonal/>
    </border>
    <border diagonalUp="false" diagonalDown="false">
      <left style="thin">
        <color rgb="FFD9D8D0"/>
      </left>
      <right style="thin">
        <color rgb="FFD9D8D0"/>
      </right>
      <top style="thin">
        <color rgb="FFD9D8D0"/>
      </top>
      <bottom style="thin">
        <color rgb="FFD9D8D0"/>
      </bottom>
      <diagonal/>
    </border>
    <border diagonalUp="false" diagonalDown="false">
      <left style="thin">
        <color rgb="FF132C4C"/>
      </left>
      <right style="thin">
        <color rgb="FFD9D8D0"/>
      </right>
      <top style="thin">
        <color rgb="FF132C4C"/>
      </top>
      <bottom style="thin">
        <color rgb="FFD9D8D0"/>
      </bottom>
      <diagonal/>
    </border>
    <border diagonalUp="false" diagonalDown="false">
      <left style="thin">
        <color rgb="FFD9D8D0"/>
      </left>
      <right style="thin">
        <color rgb="FF132C4C"/>
      </right>
      <top style="thin">
        <color rgb="FF132C4C"/>
      </top>
      <bottom style="thin">
        <color rgb="FFD9D8D0"/>
      </bottom>
      <diagonal/>
    </border>
    <border diagonalUp="false" diagonalDown="false">
      <left style="thin">
        <color rgb="FF0CA30C"/>
      </left>
      <right style="thin">
        <color rgb="FFD9D8D0"/>
      </right>
      <top style="thin">
        <color rgb="FF0CA30C"/>
      </top>
      <bottom style="thin">
        <color rgb="FFD9D8D0"/>
      </bottom>
      <diagonal/>
    </border>
    <border diagonalUp="false" diagonalDown="false">
      <left style="thin">
        <color rgb="FFD9D8D0"/>
      </left>
      <right style="thin">
        <color rgb="FF0CA30C"/>
      </right>
      <top style="thin">
        <color rgb="FF0CA30C"/>
      </top>
      <bottom style="thin">
        <color rgb="FFD9D8D0"/>
      </bottom>
      <diagonal/>
    </border>
    <border diagonalUp="false" diagonalDown="false">
      <left style="thin">
        <color rgb="FF2A78D6"/>
      </left>
      <right style="thin">
        <color rgb="FFD9D8D0"/>
      </right>
      <top style="thin">
        <color rgb="FF2A78D6"/>
      </top>
      <bottom style="thin">
        <color rgb="FFD9D8D0"/>
      </bottom>
      <diagonal/>
    </border>
    <border diagonalUp="false" diagonalDown="false">
      <left style="thin">
        <color rgb="FFD9D8D0"/>
      </left>
      <right style="thin">
        <color rgb="FF2A78D6"/>
      </right>
      <top style="thin">
        <color rgb="FF2A78D6"/>
      </top>
      <bottom style="thin">
        <color rgb="FFD9D8D0"/>
      </bottom>
      <diagonal/>
    </border>
    <border diagonalUp="false" diagonalDown="false">
      <left style="thin">
        <color rgb="FFD03B3B"/>
      </left>
      <right style="thin">
        <color rgb="FFD9D8D0"/>
      </right>
      <top style="thin">
        <color rgb="FFD03B3B"/>
      </top>
      <bottom style="thin">
        <color rgb="FFD9D8D0"/>
      </bottom>
      <diagonal/>
    </border>
    <border diagonalUp="false" diagonalDown="false">
      <left style="thin">
        <color rgb="FFD9D8D0"/>
      </left>
      <right style="thin">
        <color rgb="FFD03B3B"/>
      </right>
      <top style="thin">
        <color rgb="FFD03B3B"/>
      </top>
      <bottom style="thin">
        <color rgb="FFD9D8D0"/>
      </bottom>
      <diagonal/>
    </border>
    <border diagonalUp="false" diagonalDown="false">
      <left style="thin">
        <color rgb="FFC98500"/>
      </left>
      <right style="thin">
        <color rgb="FFD9D8D0"/>
      </right>
      <top style="thin">
        <color rgb="FFC98500"/>
      </top>
      <bottom style="thin">
        <color rgb="FFD9D8D0"/>
      </bottom>
      <diagonal/>
    </border>
    <border diagonalUp="false" diagonalDown="false">
      <left style="thin">
        <color rgb="FFD9D8D0"/>
      </left>
      <right style="thin">
        <color rgb="FFC98500"/>
      </right>
      <top style="thin">
        <color rgb="FFC98500"/>
      </top>
      <bottom style="thin">
        <color rgb="FFD9D8D0"/>
      </bottom>
      <diagonal/>
    </border>
    <border diagonalUp="false" diagonalDown="false">
      <left style="thin">
        <color rgb="FF6B6B66"/>
      </left>
      <right style="thin">
        <color rgb="FFD9D8D0"/>
      </right>
      <top style="thin">
        <color rgb="FF6B6B66"/>
      </top>
      <bottom style="thin">
        <color rgb="FFD9D8D0"/>
      </bottom>
      <diagonal/>
    </border>
    <border diagonalUp="false" diagonalDown="false">
      <left style="thin">
        <color rgb="FFD9D8D0"/>
      </left>
      <right style="thin">
        <color rgb="FF6B6B66"/>
      </right>
      <top style="thin">
        <color rgb="FF6B6B66"/>
      </top>
      <bottom style="thin">
        <color rgb="FFD9D8D0"/>
      </bottom>
      <diagonal/>
    </border>
    <border diagonalUp="false" diagonalDown="false">
      <left style="thin">
        <color rgb="FF132C4C"/>
      </left>
      <right style="thin">
        <color rgb="FFD9D8D0"/>
      </right>
      <top style="thin">
        <color rgb="FFD9D8D0"/>
      </top>
      <bottom style="thin">
        <color rgb="FFD9D8D0"/>
      </bottom>
      <diagonal/>
    </border>
    <border diagonalUp="false" diagonalDown="false">
      <left style="thin">
        <color rgb="FF0CA30C"/>
      </left>
      <right style="thin">
        <color rgb="FFD9D8D0"/>
      </right>
      <top style="thin">
        <color rgb="FFD9D8D0"/>
      </top>
      <bottom style="thin">
        <color rgb="FFD9D8D0"/>
      </bottom>
      <diagonal/>
    </border>
    <border diagonalUp="false" diagonalDown="false">
      <left style="thin">
        <color rgb="FF2A78D6"/>
      </left>
      <right style="thin">
        <color rgb="FFD9D8D0"/>
      </right>
      <top style="thin">
        <color rgb="FFD9D8D0"/>
      </top>
      <bottom style="thin">
        <color rgb="FFD9D8D0"/>
      </bottom>
      <diagonal/>
    </border>
    <border diagonalUp="false" diagonalDown="false">
      <left style="thin">
        <color rgb="FFD03B3B"/>
      </left>
      <right style="thin">
        <color rgb="FFD9D8D0"/>
      </right>
      <top style="thin">
        <color rgb="FFD9D8D0"/>
      </top>
      <bottom style="thin">
        <color rgb="FFD9D8D0"/>
      </bottom>
      <diagonal/>
    </border>
    <border diagonalUp="false" diagonalDown="false">
      <left style="thin">
        <color rgb="FFC98500"/>
      </left>
      <right style="thin">
        <color rgb="FFD9D8D0"/>
      </right>
      <top style="thin">
        <color rgb="FFD9D8D0"/>
      </top>
      <bottom style="thin">
        <color rgb="FFD9D8D0"/>
      </bottom>
      <diagonal/>
    </border>
    <border diagonalUp="false" diagonalDown="false">
      <left style="thin">
        <color rgb="FF6B6B66"/>
      </left>
      <right style="thin">
        <color rgb="FFD9D8D0"/>
      </right>
      <top style="thin">
        <color rgb="FFD9D8D0"/>
      </top>
      <bottom style="thin">
        <color rgb="FFD9D8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4" fillId="3" borderId="0" xfId="0" applyFont="true" applyBorder="true" applyAlignment="true" applyProtection="false">
      <alignment horizontal="left" vertical="center" textRotation="0" wrapText="false" indent="0" shrinkToFit="false"/>
      <protection locked="true" hidden="false"/>
    </xf>
    <xf numFmtId="164" fontId="5" fillId="4" borderId="1" xfId="0" applyFont="true" applyBorder="true" applyAlignment="true" applyProtection="false">
      <alignment horizontal="left" vertical="center"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left" vertical="center" textRotation="0" wrapText="false" indent="0" shrinkToFit="false"/>
      <protection locked="true" hidden="false"/>
    </xf>
    <xf numFmtId="164" fontId="8" fillId="3" borderId="0" xfId="0" applyFont="true" applyBorder="false" applyAlignment="true" applyProtection="false">
      <alignment horizontal="left"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4" fontId="10" fillId="3" borderId="0" xfId="0" applyFont="true" applyBorder="false" applyAlignment="true" applyProtection="false">
      <alignment horizontal="left" vertical="center" textRotation="0" wrapText="false" indent="0" shrinkToFit="false"/>
      <protection locked="true" hidden="false"/>
    </xf>
    <xf numFmtId="164" fontId="11" fillId="3" borderId="0" xfId="0" applyFont="true" applyBorder="false" applyAlignment="true" applyProtection="false">
      <alignment horizontal="right"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5" borderId="4" xfId="0" applyFont="false" applyBorder="true" applyAlignment="false" applyProtection="false">
      <alignment horizontal="general" vertical="bottom" textRotation="0" wrapText="false" indent="0" shrinkToFit="false"/>
      <protection locked="true" hidden="false"/>
    </xf>
    <xf numFmtId="164" fontId="0" fillId="5" borderId="5" xfId="0" applyFont="false" applyBorder="true" applyAlignment="false" applyProtection="false">
      <alignment horizontal="general" vertical="bottom" textRotation="0" wrapText="false" indent="0" shrinkToFit="false"/>
      <protection locked="true" hidden="false"/>
    </xf>
    <xf numFmtId="164" fontId="0" fillId="6" borderId="6" xfId="0" applyFont="false" applyBorder="true" applyAlignment="false" applyProtection="false">
      <alignment horizontal="general" vertical="bottom" textRotation="0" wrapText="false" indent="0" shrinkToFit="false"/>
      <protection locked="true" hidden="false"/>
    </xf>
    <xf numFmtId="164" fontId="0" fillId="6" borderId="7" xfId="0" applyFont="false" applyBorder="true" applyAlignment="false" applyProtection="false">
      <alignment horizontal="general" vertical="bottom" textRotation="0" wrapText="false" indent="0" shrinkToFit="false"/>
      <protection locked="true" hidden="false"/>
    </xf>
    <xf numFmtId="164" fontId="0" fillId="7" borderId="8" xfId="0" applyFont="false" applyBorder="true" applyAlignment="false" applyProtection="false">
      <alignment horizontal="general" vertical="bottom" textRotation="0" wrapText="false" indent="0" shrinkToFit="false"/>
      <protection locked="true" hidden="false"/>
    </xf>
    <xf numFmtId="164" fontId="0" fillId="7" borderId="9" xfId="0" applyFont="false" applyBorder="true" applyAlignment="false" applyProtection="false">
      <alignment horizontal="general" vertical="bottom" textRotation="0" wrapText="false" indent="0" shrinkToFit="false"/>
      <protection locked="true" hidden="false"/>
    </xf>
    <xf numFmtId="164" fontId="0" fillId="8" borderId="10" xfId="0" applyFont="false" applyBorder="true" applyAlignment="false" applyProtection="false">
      <alignment horizontal="general" vertical="bottom" textRotation="0" wrapText="false" indent="0" shrinkToFit="false"/>
      <protection locked="true" hidden="false"/>
    </xf>
    <xf numFmtId="164" fontId="0" fillId="8" borderId="11" xfId="0" applyFont="false" applyBorder="true" applyAlignment="false" applyProtection="false">
      <alignment horizontal="general" vertical="bottom" textRotation="0" wrapText="false" indent="0" shrinkToFit="false"/>
      <protection locked="true" hidden="false"/>
    </xf>
    <xf numFmtId="164" fontId="0" fillId="9" borderId="12" xfId="0" applyFont="false" applyBorder="true" applyAlignment="false" applyProtection="false">
      <alignment horizontal="general" vertical="bottom" textRotation="0" wrapText="false" indent="0" shrinkToFit="false"/>
      <protection locked="true" hidden="false"/>
    </xf>
    <xf numFmtId="164" fontId="0" fillId="9" borderId="13" xfId="0" applyFont="false" applyBorder="true" applyAlignment="false" applyProtection="false">
      <alignment horizontal="general" vertical="bottom" textRotation="0" wrapText="false" indent="0" shrinkToFit="false"/>
      <protection locked="true" hidden="false"/>
    </xf>
    <xf numFmtId="164" fontId="12" fillId="10" borderId="14" xfId="0" applyFont="true" applyBorder="true" applyAlignment="true" applyProtection="false">
      <alignment horizontal="left" vertical="center" textRotation="0" wrapText="false" indent="0" shrinkToFit="false"/>
      <protection locked="true" hidden="false"/>
    </xf>
    <xf numFmtId="164" fontId="12" fillId="11" borderId="15" xfId="0" applyFont="true" applyBorder="true" applyAlignment="true" applyProtection="false">
      <alignment horizontal="left" vertical="center" textRotation="0" wrapText="false" indent="0" shrinkToFit="false"/>
      <protection locked="true" hidden="false"/>
    </xf>
    <xf numFmtId="164" fontId="12" fillId="12" borderId="16" xfId="0" applyFont="true" applyBorder="true" applyAlignment="true" applyProtection="false">
      <alignment horizontal="left" vertical="center" textRotation="0" wrapText="false" indent="0" shrinkToFit="false"/>
      <protection locked="true" hidden="false"/>
    </xf>
    <xf numFmtId="164" fontId="12" fillId="13" borderId="17" xfId="0" applyFont="true" applyBorder="true" applyAlignment="true" applyProtection="false">
      <alignment horizontal="left" vertical="center" textRotation="0" wrapText="false" indent="0" shrinkToFit="false"/>
      <protection locked="true" hidden="false"/>
    </xf>
    <xf numFmtId="164" fontId="12" fillId="14" borderId="18" xfId="0" applyFont="true" applyBorder="true" applyAlignment="true" applyProtection="false">
      <alignment horizontal="left" vertical="center" textRotation="0" wrapText="false" indent="0" shrinkToFit="false"/>
      <protection locked="true" hidden="false"/>
    </xf>
    <xf numFmtId="164" fontId="12" fillId="15" borderId="19" xfId="0" applyFont="true" applyBorder="true" applyAlignment="true" applyProtection="false">
      <alignment horizontal="left" vertical="center" textRotation="0" wrapText="false" indent="0" shrinkToFit="false"/>
      <protection locked="true" hidden="false"/>
    </xf>
    <xf numFmtId="166" fontId="13" fillId="10" borderId="14" xfId="0" applyFont="true" applyBorder="true" applyAlignment="true" applyProtection="false">
      <alignment horizontal="left" vertical="center" textRotation="0" wrapText="false" indent="0" shrinkToFit="false"/>
      <protection locked="true" hidden="false"/>
    </xf>
    <xf numFmtId="166" fontId="14" fillId="11" borderId="15" xfId="0" applyFont="true" applyBorder="true" applyAlignment="true" applyProtection="false">
      <alignment horizontal="left" vertical="center" textRotation="0" wrapText="false" indent="0" shrinkToFit="false"/>
      <protection locked="true" hidden="false"/>
    </xf>
    <xf numFmtId="166" fontId="15" fillId="12" borderId="16" xfId="0" applyFont="true" applyBorder="true" applyAlignment="true" applyProtection="false">
      <alignment horizontal="left" vertical="center" textRotation="0" wrapText="false" indent="0" shrinkToFit="false"/>
      <protection locked="true" hidden="false"/>
    </xf>
    <xf numFmtId="166" fontId="16" fillId="13" borderId="17" xfId="0" applyFont="true" applyBorder="true" applyAlignment="true" applyProtection="false">
      <alignment horizontal="left" vertical="center" textRotation="0" wrapText="false" indent="0" shrinkToFit="false"/>
      <protection locked="true" hidden="false"/>
    </xf>
    <xf numFmtId="166" fontId="17" fillId="14" borderId="18" xfId="0" applyFont="true" applyBorder="true" applyAlignment="true" applyProtection="false">
      <alignment horizontal="left" vertical="center" textRotation="0" wrapText="false" indent="0" shrinkToFit="false"/>
      <protection locked="true" hidden="false"/>
    </xf>
    <xf numFmtId="166" fontId="18" fillId="15" borderId="19" xfId="0" applyFont="true" applyBorder="true" applyAlignment="true" applyProtection="false">
      <alignment horizontal="left" vertical="center" textRotation="0" wrapText="false" indent="0" shrinkToFit="false"/>
      <protection locked="true" hidden="false"/>
    </xf>
    <xf numFmtId="164" fontId="19" fillId="4" borderId="1" xfId="0" applyFont="true" applyBorder="true" applyAlignment="true" applyProtection="false">
      <alignment horizontal="left" vertical="center" textRotation="0" wrapText="false" indent="0" shrinkToFit="false"/>
      <protection locked="true" hidden="false"/>
    </xf>
    <xf numFmtId="164" fontId="20" fillId="4" borderId="1" xfId="0" applyFont="true" applyBorder="true" applyAlignment="true" applyProtection="false">
      <alignment horizontal="left" vertical="center" textRotation="0" wrapText="false" indent="0" shrinkToFit="false"/>
      <protection locked="true" hidden="false"/>
    </xf>
    <xf numFmtId="164" fontId="21" fillId="3" borderId="0" xfId="0" applyFont="true" applyBorder="false" applyAlignment="true" applyProtection="false">
      <alignment horizontal="left" vertical="center" textRotation="0" wrapText="false" indent="0" shrinkToFit="false"/>
      <protection locked="true" hidden="false"/>
    </xf>
    <xf numFmtId="164" fontId="22" fillId="3" borderId="0" xfId="0" applyFont="true" applyBorder="true" applyAlignment="false" applyProtection="false">
      <alignment horizontal="general" vertical="bottom" textRotation="0" wrapText="false" indent="0" shrinkToFit="false"/>
      <protection locked="true" hidden="false"/>
    </xf>
    <xf numFmtId="165" fontId="22" fillId="3" borderId="0" xfId="0" applyFont="true" applyBorder="false" applyAlignment="false" applyProtection="false">
      <alignment horizontal="general" vertical="bottom" textRotation="0" wrapText="false" indent="0" shrinkToFit="false"/>
      <protection locked="true" hidden="false"/>
    </xf>
    <xf numFmtId="164" fontId="23" fillId="3" borderId="0" xfId="0" applyFont="true" applyBorder="true" applyAlignment="false" applyProtection="false">
      <alignment horizontal="general" vertical="bottom" textRotation="0" wrapText="false" indent="0" shrinkToFit="false"/>
      <protection locked="true" hidden="false"/>
    </xf>
    <xf numFmtId="165" fontId="23" fillId="3" borderId="0" xfId="0" applyFont="true" applyBorder="false" applyAlignment="false" applyProtection="false">
      <alignment horizontal="general" vertical="bottom" textRotation="0" wrapText="false" indent="0" shrinkToFit="false"/>
      <protection locked="true" hidden="false"/>
    </xf>
    <xf numFmtId="164" fontId="24" fillId="3" borderId="0" xfId="0" applyFont="true" applyBorder="true" applyAlignment="true" applyProtection="false">
      <alignment horizontal="left" vertical="top" textRotation="0" wrapText="true" indent="0" shrinkToFit="false"/>
      <protection locked="true" hidden="false"/>
    </xf>
    <xf numFmtId="164" fontId="26" fillId="2" borderId="0" xfId="0" applyFont="true" applyBorder="true" applyAlignment="true" applyProtection="false">
      <alignment horizontal="left" vertical="center" textRotation="0" wrapText="false" indent="0" shrinkToFit="false"/>
      <protection locked="true" hidden="false"/>
    </xf>
    <xf numFmtId="164" fontId="27" fillId="6" borderId="0" xfId="0" applyFont="true" applyBorder="false" applyAlignment="true" applyProtection="false">
      <alignment horizontal="left" vertical="center" textRotation="0" wrapText="tru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6" fontId="29" fillId="0" borderId="0" xfId="0" applyFont="true" applyBorder="false" applyAlignment="false" applyProtection="false">
      <alignment horizontal="general" vertical="bottom" textRotation="0" wrapText="false" indent="0" shrinkToFit="false"/>
      <protection locked="true" hidden="false"/>
    </xf>
    <xf numFmtId="164" fontId="28" fillId="16" borderId="0" xfId="0" applyFont="true" applyBorder="false" applyAlignment="false" applyProtection="false">
      <alignment horizontal="general" vertical="bottom" textRotation="0" wrapText="false" indent="0" shrinkToFit="false"/>
      <protection locked="true" hidden="false"/>
    </xf>
    <xf numFmtId="166" fontId="29" fillId="16" borderId="0" xfId="0" applyFont="true" applyBorder="false" applyAlignment="false" applyProtection="false">
      <alignment horizontal="general" vertical="bottom" textRotation="0" wrapText="false" indent="0" shrinkToFit="false"/>
      <protection locked="true" hidden="false"/>
    </xf>
    <xf numFmtId="165" fontId="29" fillId="0" borderId="0" xfId="0" applyFont="true" applyBorder="false" applyAlignment="false" applyProtection="false">
      <alignment horizontal="general" vertical="bottom" textRotation="0" wrapText="false" indent="0" shrinkToFit="false"/>
      <protection locked="true" hidden="false"/>
    </xf>
    <xf numFmtId="164" fontId="8" fillId="16" borderId="0" xfId="0" applyFont="true" applyBorder="false" applyAlignment="false" applyProtection="false">
      <alignment horizontal="general" vertical="bottom" textRotation="0" wrapText="false" indent="0" shrinkToFit="false"/>
      <protection locked="true" hidden="false"/>
    </xf>
    <xf numFmtId="166" fontId="6" fillId="16" borderId="0" xfId="0" applyFont="true" applyBorder="false" applyAlignment="false" applyProtection="false">
      <alignment horizontal="general" vertical="bottom" textRotation="0" wrapText="false" indent="0" shrinkToFit="false"/>
      <protection locked="true" hidden="false"/>
    </xf>
    <xf numFmtId="165" fontId="29" fillId="16"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30" fillId="16" borderId="0" xfId="0" applyFont="true" applyBorder="false" applyAlignment="false" applyProtection="false">
      <alignment horizontal="general" vertical="bottom" textRotation="0" wrapText="false" indent="0" shrinkToFit="false"/>
      <protection locked="true" hidden="false"/>
    </xf>
    <xf numFmtId="166" fontId="31" fillId="16" borderId="0" xfId="0" applyFont="true" applyBorder="false" applyAlignment="false" applyProtection="false">
      <alignment horizontal="general" vertical="bottom" textRotation="0" wrapText="false" indent="0" shrinkToFit="false"/>
      <protection locked="true" hidden="false"/>
    </xf>
    <xf numFmtId="165" fontId="32" fillId="16" borderId="0" xfId="0" applyFont="true" applyBorder="false" applyAlignment="false" applyProtection="false">
      <alignment horizontal="general" vertical="bottom" textRotation="0" wrapText="false" indent="0" shrinkToFit="false"/>
      <protection locked="true" hidden="false"/>
    </xf>
    <xf numFmtId="164" fontId="33" fillId="16"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6" fontId="31" fillId="0" borderId="0" xfId="0" applyFont="true" applyBorder="false" applyAlignment="false" applyProtection="false">
      <alignment horizontal="general" vertical="bottom" textRotation="0" wrapText="false" indent="0" shrinkToFit="false"/>
      <protection locked="true" hidden="false"/>
    </xf>
    <xf numFmtId="165" fontId="32"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2" borderId="0" xfId="0" applyFont="true" applyBorder="false" applyAlignment="false" applyProtection="false">
      <alignment horizontal="general" vertical="bottom" textRotation="0" wrapText="false" indent="0" shrinkToFit="false"/>
      <protection locked="true" hidden="false"/>
    </xf>
    <xf numFmtId="165" fontId="34" fillId="2" borderId="0" xfId="0" applyFont="true" applyBorder="false" applyAlignment="false" applyProtection="false">
      <alignment horizontal="general" vertical="bottom" textRotation="0" wrapText="false" indent="0" shrinkToFit="false"/>
      <protection locked="true" hidden="false"/>
    </xf>
    <xf numFmtId="164" fontId="27" fillId="2" borderId="0" xfId="0" applyFont="true" applyBorder="false" applyAlignment="true" applyProtection="false">
      <alignment horizontal="left" vertical="center" textRotation="0" wrapText="true" indent="0" shrinkToFit="false"/>
      <protection locked="true" hidden="false"/>
    </xf>
    <xf numFmtId="164" fontId="31" fillId="17" borderId="0" xfId="0" applyFont="true" applyBorder="false" applyAlignment="false" applyProtection="false">
      <alignment horizontal="general" vertical="bottom" textRotation="0" wrapText="false" indent="0" shrinkToFit="false"/>
      <protection locked="true" hidden="false"/>
    </xf>
    <xf numFmtId="164" fontId="30" fillId="17" borderId="0" xfId="0" applyFont="true" applyBorder="false" applyAlignment="false" applyProtection="false">
      <alignment horizontal="general" vertical="bottom" textRotation="0" wrapText="false" indent="0" shrinkToFit="false"/>
      <protection locked="true" hidden="false"/>
    </xf>
    <xf numFmtId="164" fontId="31" fillId="17" borderId="0" xfId="0" applyFont="true" applyBorder="false" applyAlignment="true" applyProtection="false">
      <alignment horizontal="general" vertical="center" textRotation="0" wrapText="true" indent="0" shrinkToFit="false"/>
      <protection locked="true" hidden="false"/>
    </xf>
    <xf numFmtId="164" fontId="30" fillId="17" borderId="0" xfId="0" applyFont="true" applyBorder="false" applyAlignment="true" applyProtection="false">
      <alignment horizontal="general" vertical="center" textRotation="0" wrapText="true" indent="0" shrinkToFit="false"/>
      <protection locked="true" hidden="false"/>
    </xf>
    <xf numFmtId="167" fontId="31" fillId="17" borderId="0" xfId="0" applyFont="true" applyBorder="false" applyAlignment="false" applyProtection="false">
      <alignment horizontal="general" vertical="bottom" textRotation="0" wrapText="false" indent="0" shrinkToFit="false"/>
      <protection locked="true" hidden="false"/>
    </xf>
    <xf numFmtId="164" fontId="35" fillId="17"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center" textRotation="0" wrapText="true" indent="0" shrinkToFit="false"/>
      <protection locked="true" hidden="false"/>
    </xf>
    <xf numFmtId="164" fontId="30" fillId="0" borderId="0" xfId="0" applyFont="true" applyBorder="false" applyAlignment="true" applyProtection="false">
      <alignment horizontal="general" vertical="center" textRotation="0" wrapText="true" indent="0" shrinkToFit="false"/>
      <protection locked="true" hidden="false"/>
    </xf>
    <xf numFmtId="167" fontId="31"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8" fontId="31" fillId="17" borderId="0" xfId="0" applyFont="true" applyBorder="false" applyAlignment="true" applyProtection="false">
      <alignment horizontal="general" vertical="center" textRotation="0" wrapText="true" indent="0" shrinkToFit="false"/>
      <protection locked="true" hidden="false"/>
    </xf>
    <xf numFmtId="168" fontId="31" fillId="0" borderId="0" xfId="0" applyFont="true" applyBorder="false" applyAlignment="true" applyProtection="false">
      <alignment horizontal="general" vertical="center" textRotation="0" wrapText="tru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7" fillId="6"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true" applyAlignment="false" applyProtection="false">
      <alignment horizontal="general" vertical="bottom" textRotation="0" wrapText="false" indent="0" shrinkToFit="false"/>
      <protection locked="true" hidden="false"/>
    </xf>
    <xf numFmtId="164" fontId="27" fillId="6" borderId="0" xfId="0" applyFont="true" applyBorder="false" applyAlignment="false" applyProtection="false">
      <alignment horizontal="general" vertical="bottom" textRotation="0" wrapText="false" indent="0" shrinkToFit="false"/>
      <protection locked="true" hidden="false"/>
    </xf>
    <xf numFmtId="164" fontId="27" fillId="6" borderId="0" xfId="0" applyFont="true" applyBorder="true" applyAlignment="false" applyProtection="false">
      <alignment horizontal="general" vertical="bottom" textRotation="0" wrapText="false" indent="0" shrinkToFit="false"/>
      <protection locked="true" hidden="false"/>
    </xf>
    <xf numFmtId="164" fontId="31" fillId="17"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39"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center" vertical="center" textRotation="0" wrapText="false" indent="0" shrinkToFit="false"/>
      <protection locked="true" hidden="false"/>
    </xf>
    <xf numFmtId="164" fontId="40" fillId="0" borderId="0" xfId="0" applyFont="true" applyBorder="false" applyAlignment="true" applyProtection="false">
      <alignment horizontal="center" vertical="center" textRotation="0" wrapText="false" indent="0" shrinkToFit="false"/>
      <protection locked="true" hidden="false"/>
    </xf>
    <xf numFmtId="164" fontId="40" fillId="17" borderId="0" xfId="0" applyFont="true" applyBorder="false" applyAlignment="true" applyProtection="false">
      <alignment horizontal="center" vertical="center" textRotation="0" wrapText="false" indent="0" shrinkToFit="false"/>
      <protection locked="true" hidden="false"/>
    </xf>
    <xf numFmtId="164" fontId="23" fillId="17" borderId="0" xfId="0" applyFont="true" applyBorder="false" applyAlignment="true" applyProtection="false">
      <alignment horizontal="center" vertical="center" textRotation="0" wrapText="false" indent="0" shrinkToFit="false"/>
      <protection locked="true" hidden="false"/>
    </xf>
    <xf numFmtId="164" fontId="39" fillId="17" borderId="0" xfId="0" applyFont="true" applyBorder="false" applyAlignment="true" applyProtection="false">
      <alignment horizontal="center" vertical="center" textRotation="0" wrapText="false" indent="0" shrinkToFit="false"/>
      <protection locked="true" hidden="false"/>
    </xf>
    <xf numFmtId="164" fontId="29" fillId="17"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7">
    <dxf>
      <font>
        <name val="Arial"/>
        <charset val="1"/>
        <family val="0"/>
        <b val="1"/>
        <color rgb="FF0CA30C"/>
      </font>
    </dxf>
    <dxf>
      <font>
        <name val="Arial"/>
        <charset val="1"/>
        <family val="0"/>
        <b val="1"/>
        <color rgb="FFC98500"/>
      </font>
    </dxf>
    <dxf>
      <font>
        <name val="Arial"/>
        <charset val="1"/>
        <family val="0"/>
        <b val="1"/>
        <color rgb="FFD03B3B"/>
      </font>
    </dxf>
    <dxf>
      <fill>
        <patternFill patternType="solid">
          <fgColor rgb="FF132C4C"/>
          <bgColor rgb="FF000000"/>
        </patternFill>
      </fill>
    </dxf>
    <dxf>
      <fill>
        <patternFill patternType="solid">
          <fgColor rgb="FFF6F6F3"/>
          <bgColor rgb="FF000000"/>
        </patternFill>
      </fill>
    </dxf>
    <dxf>
      <fill>
        <patternFill patternType="solid">
          <bgColor rgb="FF000000"/>
        </patternFill>
      </fill>
    </dxf>
    <dxf>
      <fill>
        <patternFill patternType="solid">
          <fgColor rgb="FF52514E"/>
          <bgColor rgb="FF000000"/>
        </patternFill>
      </fill>
    </dxf>
    <dxf>
      <fill>
        <patternFill patternType="solid">
          <fgColor rgb="FFFFFFFF"/>
          <bgColor rgb="FF000000"/>
        </patternFill>
      </fill>
    </dxf>
    <dxf>
      <fill>
        <patternFill patternType="solid">
          <fgColor rgb="FF0B0B0B"/>
          <bgColor rgb="FF000000"/>
        </patternFill>
      </fill>
    </dxf>
    <dxf>
      <fill>
        <patternFill patternType="solid">
          <fgColor rgb="FFDCE9FA"/>
          <bgColor rgb="FF000000"/>
        </patternFill>
      </fill>
    </dxf>
    <dxf>
      <fill>
        <patternFill patternType="solid">
          <fgColor rgb="FFDFF5DF"/>
          <bgColor rgb="FF000000"/>
        </patternFill>
      </fill>
    </dxf>
    <dxf>
      <fill>
        <patternFill patternType="solid">
          <fgColor rgb="FFEEEEEA"/>
          <bgColor rgb="FF000000"/>
        </patternFill>
      </fill>
    </dxf>
    <dxf>
      <fill>
        <patternFill patternType="solid">
          <fgColor rgb="FF0CA30C"/>
          <bgColor rgb="FF000000"/>
        </patternFill>
      </fill>
    </dxf>
    <dxf>
      <fill>
        <patternFill patternType="solid">
          <fgColor rgb="FF2A78D6"/>
          <bgColor rgb="FF000000"/>
        </patternFill>
      </fill>
    </dxf>
    <dxf>
      <fill>
        <patternFill patternType="solid">
          <fgColor rgb="FF6B6B66"/>
          <bgColor rgb="FF000000"/>
        </patternFill>
      </fill>
    </dxf>
    <dxf>
      <font>
        <name val="Arial"/>
        <charset val="1"/>
        <family val="0"/>
        <b val="1"/>
        <color rgb="FFD03B3B"/>
      </font>
      <fill>
        <patternFill>
          <bgColor rgb="FFFBE0E0"/>
        </patternFill>
      </fill>
    </dxf>
    <dxf>
      <font>
        <name val="Arial"/>
        <charset val="1"/>
        <family val="0"/>
        <b val="1"/>
        <color rgb="FF4A3AA7"/>
      </font>
      <fill>
        <patternFill>
          <bgColor rgb="FFE7E3F8"/>
        </patternFill>
      </fill>
    </dxf>
    <dxf>
      <font>
        <name val="Arial"/>
        <charset val="1"/>
        <family val="0"/>
        <b val="1"/>
        <color rgb="FF6B6B66"/>
      </font>
      <fill>
        <patternFill>
          <bgColor rgb="FFEEEEEA"/>
        </patternFill>
      </fill>
    </dxf>
    <dxf>
      <font>
        <name val="Arial"/>
        <charset val="1"/>
        <family val="0"/>
        <b val="1"/>
        <color rgb="FFC98500"/>
      </font>
      <fill>
        <patternFill>
          <bgColor rgb="FFFFF1D6"/>
        </patternFill>
      </fill>
    </dxf>
    <dxf>
      <font>
        <name val="Arial"/>
        <charset val="1"/>
        <family val="0"/>
        <b val="1"/>
        <color rgb="FF1BAF7A"/>
      </font>
      <fill>
        <patternFill>
          <bgColor rgb="FFD7F3E9"/>
        </patternFill>
      </fill>
    </dxf>
    <dxf>
      <font>
        <name val="Arial"/>
        <charset val="1"/>
        <family val="0"/>
        <b val="1"/>
        <color rgb="FF2A78D6"/>
      </font>
      <fill>
        <patternFill>
          <bgColor rgb="FFDCE9FA"/>
        </patternFill>
      </fill>
    </dxf>
    <dxf>
      <font>
        <name val="Arial"/>
        <charset val="1"/>
        <family val="0"/>
        <b val="1"/>
        <color rgb="FFEB6834"/>
      </font>
      <fill>
        <patternFill>
          <bgColor rgb="FFFCE4D8"/>
        </patternFill>
      </fill>
    </dxf>
    <dxf>
      <font>
        <name val="Arial"/>
        <charset val="1"/>
        <family val="0"/>
        <b val="1"/>
        <color rgb="FF0CA30C"/>
      </font>
      <fill>
        <patternFill>
          <bgColor rgb="FFDFF5DF"/>
        </patternFill>
      </fill>
    </dxf>
    <dxf>
      <fill>
        <patternFill patternType="solid">
          <fgColor rgb="FFFFF1D6"/>
          <bgColor rgb="FF000000"/>
        </patternFill>
      </fill>
    </dxf>
    <dxf>
      <fill>
        <patternFill patternType="solid">
          <fgColor rgb="FFC98500"/>
          <bgColor rgb="FF000000"/>
        </patternFill>
      </fill>
    </dxf>
    <dxf>
      <fill>
        <patternFill patternType="solid">
          <fgColor rgb="FFFCE4D8"/>
          <bgColor rgb="FF000000"/>
        </patternFill>
      </fill>
    </dxf>
    <dxf>
      <fill>
        <patternFill patternType="solid">
          <fgColor rgb="FFEB6834"/>
          <bgColor rgb="FF000000"/>
        </patternFill>
      </fill>
    </dxf>
  </dxfs>
  <colors>
    <indexedColors>
      <rgbColor rgb="FF000000"/>
      <rgbColor rgb="FFFFFFFF"/>
      <rgbColor rgb="FFFF0000"/>
      <rgbColor rgb="FF00FF00"/>
      <rgbColor rgb="FF0000FF"/>
      <rgbColor rgb="FFEEEEEA"/>
      <rgbColor rgb="FFFF00FF"/>
      <rgbColor rgb="FF00FFFF"/>
      <rgbColor rgb="FF800000"/>
      <rgbColor rgb="FF0CA30C"/>
      <rgbColor rgb="FF000080"/>
      <rgbColor rgb="FF808000"/>
      <rgbColor rgb="FF800080"/>
      <rgbColor rgb="FF008080"/>
      <rgbColor rgb="FFD9D8D0"/>
      <rgbColor rgb="FF898781"/>
      <rgbColor rgb="FF9999FF"/>
      <rgbColor rgb="FFD03B3B"/>
      <rgbColor rgb="FFFFF1D6"/>
      <rgbColor rgb="FFD7F3E9"/>
      <rgbColor rgb="FF660066"/>
      <rgbColor rgb="FFFF8080"/>
      <rgbColor rgb="FF0066CC"/>
      <rgbColor rgb="FFD9D9D9"/>
      <rgbColor rgb="FF000080"/>
      <rgbColor rgb="FFFF00FF"/>
      <rgbColor rgb="FFF6F6F3"/>
      <rgbColor rgb="FF00FFFF"/>
      <rgbColor rgb="FF800080"/>
      <rgbColor rgb="FF800000"/>
      <rgbColor rgb="FF008080"/>
      <rgbColor rgb="FF0000FF"/>
      <rgbColor rgb="FF00CCFF"/>
      <rgbColor rgb="FFDCE9FA"/>
      <rgbColor rgb="FFDFF5DF"/>
      <rgbColor rgb="FFF3F3F0"/>
      <rgbColor rgb="FFE7E3F8"/>
      <rgbColor rgb="FFFBE0E0"/>
      <rgbColor rgb="FFE7E9EC"/>
      <rgbColor rgb="FFFCE4D8"/>
      <rgbColor rgb="FF2A78D6"/>
      <rgbColor rgb="FF33CCCC"/>
      <rgbColor rgb="FF99CC00"/>
      <rgbColor rgb="FFF9F9F7"/>
      <rgbColor rgb="FFC98500"/>
      <rgbColor rgb="FFEB6834"/>
      <rgbColor rgb="FF6B6B66"/>
      <rgbColor rgb="FF4F81BD"/>
      <rgbColor rgb="FF132C4C"/>
      <rgbColor rgb="FF1BAF7A"/>
      <rgbColor rgb="FF0B0B0B"/>
      <rgbColor rgb="FF333300"/>
      <rgbColor rgb="FF993300"/>
      <rgbColor rgb="FF993366"/>
      <rgbColor rgb="FF4A3AA7"/>
      <rgbColor rgb="FF5251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tx>
            <c:strRef>
              <c:f>Indicadores!N38</c:f>
              <c:strCache>
                <c:ptCount val="1"/>
                <c:pt idx="0">
                  <c:v>% Avance</c:v>
                </c:pt>
              </c:strCache>
            </c:strRef>
          </c:tx>
          <c:spPr>
            <a:solidFill>
              <a:srgbClr val="2a78d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Indicadores!$A$39:$A$48</c:f>
              <c:strCache>
                <c:ptCount val="10"/>
                <c:pt idx="0">
                  <c:v>1. Preparación</c:v>
                </c:pt>
                <c:pt idx="1">
                  <c:v>2. Definición Funcional</c:v>
                </c:pt>
                <c:pt idx="2">
                  <c:v>3. Diseño</c:v>
                </c:pt>
                <c:pt idx="3">
                  <c:v>4. Planificación</c:v>
                </c:pt>
                <c:pt idx="4">
                  <c:v>5. Construcción</c:v>
                </c:pt>
                <c:pt idx="5">
                  <c:v>6. Validación</c:v>
                </c:pt>
                <c:pt idx="6">
                  <c:v>7. Aseguramiento</c:v>
                </c:pt>
                <c:pt idx="7">
                  <c:v>8. Adopción</c:v>
                </c:pt>
                <c:pt idx="8">
                  <c:v>9. Operación</c:v>
                </c:pt>
                <c:pt idx="9">
                  <c:v>10. Mejora Continua</c:v>
                </c:pt>
              </c:strCache>
            </c:strRef>
          </c:cat>
          <c:val>
            <c:numRef>
              <c:f>Indicadores!$N$39:$N$48</c:f>
              <c:numCache>
                <c:formatCode>0.0%</c:formatCode>
                <c:ptCount val="10"/>
                <c:pt idx="0">
                  <c:v>0.142857142857143</c:v>
                </c:pt>
                <c:pt idx="1">
                  <c:v>0.142857142857143</c:v>
                </c:pt>
                <c:pt idx="2">
                  <c:v>0.142857142857143</c:v>
                </c:pt>
                <c:pt idx="3">
                  <c:v>0.142857142857143</c:v>
                </c:pt>
                <c:pt idx="4">
                  <c:v>0.0714285714285714</c:v>
                </c:pt>
                <c:pt idx="5">
                  <c:v>0</c:v>
                </c:pt>
                <c:pt idx="6">
                  <c:v>0</c:v>
                </c:pt>
                <c:pt idx="7">
                  <c:v>0</c:v>
                </c:pt>
                <c:pt idx="8">
                  <c:v>0</c:v>
                </c:pt>
                <c:pt idx="9">
                  <c:v>0</c:v>
                </c:pt>
              </c:numCache>
            </c:numRef>
          </c:val>
        </c:ser>
        <c:gapWidth val="60"/>
        <c:overlap val="0"/>
        <c:axId val="50307599"/>
        <c:axId val="23582045"/>
      </c:barChart>
      <c:catAx>
        <c:axId val="50307599"/>
        <c:scaling>
          <c:orientation val="minMax"/>
        </c:scaling>
        <c:delete val="0"/>
        <c:axPos val="b"/>
        <c:numFmt formatCode="General" sourceLinked="1"/>
        <c:majorTickMark val="none"/>
        <c:minorTickMark val="none"/>
        <c:tickLblPos val="nextTo"/>
        <c:spPr>
          <a:ln w="9360">
            <a:solidFill>
              <a:srgbClr val="d9d8d0"/>
            </a:solidFill>
            <a:round/>
          </a:ln>
        </c:spPr>
        <c:txPr>
          <a:bodyPr/>
          <a:lstStyle/>
          <a:p>
            <a:pPr>
              <a:defRPr b="0" sz="1000" spc="-1" strike="noStrike">
                <a:solidFill>
                  <a:srgbClr val="000000"/>
                </a:solidFill>
                <a:latin typeface="Calibri"/>
              </a:defRPr>
            </a:pPr>
          </a:p>
        </c:txPr>
        <c:crossAx val="23582045"/>
        <c:crosses val="autoZero"/>
        <c:auto val="1"/>
        <c:lblAlgn val="ctr"/>
        <c:lblOffset val="100"/>
        <c:noMultiLvlLbl val="0"/>
      </c:catAx>
      <c:valAx>
        <c:axId val="23582045"/>
        <c:scaling>
          <c:orientation val="maxMin"/>
        </c:scaling>
        <c:delete val="0"/>
        <c:axPos val="l"/>
        <c:numFmt formatCode="0.0%" sourceLinked="1"/>
        <c:majorTickMark val="none"/>
        <c:minorTickMark val="none"/>
        <c:tickLblPos val="nextTo"/>
        <c:spPr>
          <a:ln w="9360">
            <a:solidFill>
              <a:srgbClr val="d9d8d0"/>
            </a:solidFill>
            <a:round/>
          </a:ln>
        </c:spPr>
        <c:txPr>
          <a:bodyPr/>
          <a:lstStyle/>
          <a:p>
            <a:pPr>
              <a:defRPr b="0" sz="1000" spc="-1" strike="noStrike">
                <a:solidFill>
                  <a:srgbClr val="000000"/>
                </a:solidFill>
                <a:latin typeface="Calibri"/>
              </a:defRPr>
            </a:pPr>
          </a:p>
        </c:txPr>
        <c:crossAx val="5030759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tx>
            <c:strRef>
              <c:f>Indicadores!B31</c:f>
              <c:strCache>
                <c:ptCount val="1"/>
                <c:pt idx="0">
                  <c:v>Total</c:v>
                </c:pt>
              </c:strCache>
            </c:strRef>
          </c:tx>
          <c:spPr>
            <a:solidFill>
              <a:srgbClr val="4f81bd"/>
            </a:solidFill>
            <a:ln w="0">
              <a:noFill/>
            </a:ln>
          </c:spPr>
          <c:explosion val="0"/>
          <c:dPt>
            <c:idx val="0"/>
            <c:spPr>
              <a:solidFill>
                <a:srgbClr val="2a78d6"/>
              </a:solidFill>
              <a:ln w="0">
                <a:noFill/>
              </a:ln>
            </c:spPr>
          </c:dPt>
          <c:dPt>
            <c:idx val="1"/>
            <c:spPr>
              <a:solidFill>
                <a:srgbClr val="eb6834"/>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Indicadores!$A$32:$A$33</c:f>
              <c:strCache>
                <c:ptCount val="2"/>
                <c:pt idx="0">
                  <c:v>MINSAL</c:v>
                </c:pt>
                <c:pt idx="1">
                  <c:v>PROVEEDOR</c:v>
                </c:pt>
              </c:strCache>
            </c:strRef>
          </c:cat>
          <c:val>
            <c:numRef>
              <c:f>Indicadores!$B$32:$B$33</c:f>
              <c:numCache>
                <c:formatCode>General</c:formatCode>
                <c:ptCount val="2"/>
                <c:pt idx="0">
                  <c:v>161</c:v>
                </c:pt>
                <c:pt idx="1">
                  <c:v>133</c:v>
                </c:pt>
              </c:numCache>
            </c:numRef>
          </c:val>
        </c:ser>
        <c:firstSliceAng val="0"/>
        <c:holeSize val="50"/>
      </c:doughnutChart>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tx>
            <c:strRef>
              <c:f>Indicadores!N19</c:f>
              <c:strCache>
                <c:ptCount val="1"/>
                <c:pt idx="0">
                  <c:v>% Avance</c:v>
                </c:pt>
              </c:strCache>
            </c:strRef>
          </c:tx>
          <c:spPr>
            <a:solidFill>
              <a:srgbClr val="4a3aa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Indicadores!$A$20:$A$26</c:f>
              <c:strCache>
                <c:ptCount val="7"/>
                <c:pt idx="0">
                  <c:v>AutoAtención</c:v>
                </c:pt>
                <c:pt idx="1">
                  <c:v>RAD</c:v>
                </c:pt>
                <c:pt idx="2">
                  <c:v>Licencias Médicas</c:v>
                </c:pt>
                <c:pt idx="3">
                  <c:v>Calificaciones</c:v>
                </c:pt>
                <c:pt idx="4">
                  <c:v>FORCAP</c:v>
                </c:pt>
                <c:pt idx="5">
                  <c:v>VALS</c:v>
                </c:pt>
                <c:pt idx="6">
                  <c:v>Portal SIRH</c:v>
                </c:pt>
              </c:strCache>
            </c:strRef>
          </c:cat>
          <c:val>
            <c:numRef>
              <c:f>Indicadores!$N$20:$N$26</c:f>
              <c:numCache>
                <c:formatCode>0.0%</c:formatCode>
                <c:ptCount val="7"/>
                <c:pt idx="0">
                  <c:v>0.380952380952381</c:v>
                </c:pt>
                <c:pt idx="1">
                  <c:v>0</c:v>
                </c:pt>
                <c:pt idx="2">
                  <c:v>0</c:v>
                </c:pt>
                <c:pt idx="3">
                  <c:v>0</c:v>
                </c:pt>
                <c:pt idx="4">
                  <c:v>0</c:v>
                </c:pt>
                <c:pt idx="5">
                  <c:v>0</c:v>
                </c:pt>
                <c:pt idx="6">
                  <c:v>0</c:v>
                </c:pt>
              </c:numCache>
            </c:numRef>
          </c:val>
        </c:ser>
        <c:gapWidth val="60"/>
        <c:overlap val="0"/>
        <c:axId val="13749362"/>
        <c:axId val="84467182"/>
      </c:barChart>
      <c:catAx>
        <c:axId val="13749362"/>
        <c:scaling>
          <c:orientation val="minMax"/>
        </c:scaling>
        <c:delete val="0"/>
        <c:axPos val="b"/>
        <c:numFmt formatCode="General" sourceLinked="1"/>
        <c:majorTickMark val="none"/>
        <c:minorTickMark val="none"/>
        <c:tickLblPos val="nextTo"/>
        <c:spPr>
          <a:ln w="9360">
            <a:solidFill>
              <a:srgbClr val="d9d8d0"/>
            </a:solidFill>
            <a:round/>
          </a:ln>
        </c:spPr>
        <c:txPr>
          <a:bodyPr/>
          <a:lstStyle/>
          <a:p>
            <a:pPr>
              <a:defRPr b="0" sz="1000" spc="-1" strike="noStrike">
                <a:solidFill>
                  <a:srgbClr val="000000"/>
                </a:solidFill>
                <a:latin typeface="Calibri"/>
              </a:defRPr>
            </a:pPr>
          </a:p>
        </c:txPr>
        <c:crossAx val="84467182"/>
        <c:crosses val="autoZero"/>
        <c:auto val="1"/>
        <c:lblAlgn val="ctr"/>
        <c:lblOffset val="100"/>
        <c:noMultiLvlLbl val="0"/>
      </c:catAx>
      <c:valAx>
        <c:axId val="84467182"/>
        <c:scaling>
          <c:orientation val="maxMin"/>
        </c:scaling>
        <c:delete val="0"/>
        <c:axPos val="l"/>
        <c:numFmt formatCode="0.0%" sourceLinked="1"/>
        <c:majorTickMark val="none"/>
        <c:minorTickMark val="none"/>
        <c:tickLblPos val="nextTo"/>
        <c:spPr>
          <a:ln w="9360">
            <a:solidFill>
              <a:srgbClr val="d9d8d0"/>
            </a:solidFill>
            <a:round/>
          </a:ln>
        </c:spPr>
        <c:txPr>
          <a:bodyPr/>
          <a:lstStyle/>
          <a:p>
            <a:pPr>
              <a:defRPr b="0" sz="1000" spc="-1" strike="noStrike">
                <a:solidFill>
                  <a:srgbClr val="000000"/>
                </a:solidFill>
                <a:latin typeface="Calibri"/>
              </a:defRPr>
            </a:pPr>
          </a:p>
        </c:txPr>
        <c:crossAx val="1374936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tx>
            <c:strRef>
              <c:f>Indicadores!B3</c:f>
              <c:strCache>
                <c:ptCount val="1"/>
                <c:pt idx="0">
                  <c:v>294</c:v>
                </c:pt>
              </c:strCache>
            </c:strRef>
          </c:tx>
          <c:spPr>
            <a:solidFill>
              <a:srgbClr val="4f81bd"/>
            </a:solidFill>
            <a:ln w="0">
              <a:noFill/>
            </a:ln>
          </c:spPr>
          <c:invertIfNegative val="0"/>
          <c:dPt>
            <c:idx val="0"/>
            <c:invertIfNegative val="0"/>
            <c:spPr>
              <a:solidFill>
                <a:srgbClr val="0ca30c"/>
              </a:solidFill>
              <a:ln w="0">
                <a:noFill/>
              </a:ln>
            </c:spPr>
          </c:dPt>
          <c:dPt>
            <c:idx val="1"/>
            <c:invertIfNegative val="0"/>
            <c:spPr>
              <a:solidFill>
                <a:srgbClr val="eb6834"/>
              </a:solidFill>
              <a:ln w="0">
                <a:noFill/>
              </a:ln>
            </c:spPr>
          </c:dPt>
          <c:dPt>
            <c:idx val="2"/>
            <c:invertIfNegative val="0"/>
            <c:spPr>
              <a:solidFill>
                <a:srgbClr val="2a78d6"/>
              </a:solidFill>
              <a:ln w="0">
                <a:noFill/>
              </a:ln>
            </c:spPr>
          </c:dPt>
          <c:dPt>
            <c:idx val="3"/>
            <c:invertIfNegative val="0"/>
            <c:spPr>
              <a:solidFill>
                <a:srgbClr val="eb6834"/>
              </a:solidFill>
              <a:ln w="0">
                <a:noFill/>
              </a:ln>
            </c:spPr>
          </c:dPt>
          <c:dPt>
            <c:idx val="4"/>
            <c:invertIfNegative val="0"/>
            <c:spPr>
              <a:solidFill>
                <a:srgbClr val="6b6b66"/>
              </a:solidFill>
              <a:ln w="0">
                <a:noFill/>
              </a:ln>
            </c:spPr>
          </c:dPt>
          <c:dPt>
            <c:idx val="5"/>
            <c:invertIfNegative val="0"/>
            <c:spPr>
              <a:solidFill>
                <a:srgbClr val="c98500"/>
              </a:solidFill>
              <a:ln w="0">
                <a:noFill/>
              </a:ln>
            </c:spPr>
          </c:dPt>
          <c:dPt>
            <c:idx val="6"/>
            <c:invertIfNegative val="0"/>
            <c:spPr>
              <a:solidFill>
                <a:srgbClr val="d03b3b"/>
              </a:solidFill>
              <a:ln w="0">
                <a:noFill/>
              </a:ln>
            </c:spPr>
          </c:dPt>
          <c:dPt>
            <c:idx val="7"/>
            <c:invertIfNegative val="0"/>
            <c:spPr>
              <a:solidFill>
                <a:srgbClr val="6b6b66"/>
              </a:solidFill>
              <a:ln w="0">
                <a:noFill/>
              </a:ln>
            </c:spPr>
          </c:dPt>
          <c:dPt>
            <c:idx val="8"/>
            <c:invertIfNegative val="0"/>
            <c:spPr>
              <a:solidFill>
                <a:srgbClr val="d03b3b"/>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dLbl>
              <c:idx val="4"/>
              <c:txPr>
                <a:bodyPr wrap="none"/>
                <a:lstStyle/>
                <a:p>
                  <a:pPr>
                    <a:defRPr b="0" sz="1000" spc="-1" strike="noStrike">
                      <a:latin typeface="Arial"/>
                    </a:defRPr>
                  </a:pPr>
                </a:p>
              </c:txPr>
              <c:showLegendKey val="0"/>
              <c:showVal val="0"/>
              <c:showCatName val="0"/>
              <c:showSerName val="0"/>
              <c:showPercent val="0"/>
              <c:separator> </c:separator>
            </c:dLbl>
            <c:dLbl>
              <c:idx val="5"/>
              <c:txPr>
                <a:bodyPr wrap="none"/>
                <a:lstStyle/>
                <a:p>
                  <a:pPr>
                    <a:defRPr b="0" sz="1000" spc="-1" strike="noStrike">
                      <a:latin typeface="Arial"/>
                    </a:defRPr>
                  </a:pPr>
                </a:p>
              </c:txPr>
              <c:showLegendKey val="0"/>
              <c:showVal val="0"/>
              <c:showCatName val="0"/>
              <c:showSerName val="0"/>
              <c:showPercent val="0"/>
              <c:separator> </c:separator>
            </c:dLbl>
            <c:dLbl>
              <c:idx val="6"/>
              <c:txPr>
                <a:bodyPr wrap="none"/>
                <a:lstStyle/>
                <a:p>
                  <a:pPr>
                    <a:defRPr b="0" sz="1000" spc="-1" strike="noStrike">
                      <a:latin typeface="Arial"/>
                    </a:defRPr>
                  </a:pPr>
                </a:p>
              </c:txPr>
              <c:showLegendKey val="0"/>
              <c:showVal val="0"/>
              <c:showCatName val="0"/>
              <c:showSerName val="0"/>
              <c:showPercent val="0"/>
              <c:separator> </c:separator>
            </c:dLbl>
            <c:dLbl>
              <c:idx val="7"/>
              <c:txPr>
                <a:bodyPr wrap="none"/>
                <a:lstStyle/>
                <a:p>
                  <a:pPr>
                    <a:defRPr b="0" sz="1000" spc="-1" strike="noStrike">
                      <a:latin typeface="Arial"/>
                    </a:defRPr>
                  </a:pPr>
                </a:p>
              </c:txPr>
              <c:showLegendKey val="0"/>
              <c:showVal val="0"/>
              <c:showCatName val="0"/>
              <c:showSerName val="0"/>
              <c:showPercent val="0"/>
              <c:separator> </c:separator>
            </c:dLbl>
            <c:dLbl>
              <c:idx val="8"/>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Indicadores!$A$4:$A$12</c:f>
              <c:strCache>
                <c:ptCount val="9"/>
                <c:pt idx="0">
                  <c:v>Finalizadas</c:v>
                </c:pt>
                <c:pt idx="1">
                  <c:v>Finalizadas con desfase</c:v>
                </c:pt>
                <c:pt idx="2">
                  <c:v>En curso</c:v>
                </c:pt>
                <c:pt idx="3">
                  <c:v>Inicio retrasado (en curso)</c:v>
                </c:pt>
                <c:pt idx="4">
                  <c:v>Programadas</c:v>
                </c:pt>
                <c:pt idx="5">
                  <c:v>No iniciadas</c:v>
                </c:pt>
                <c:pt idx="6">
                  <c:v>Atrasadas</c:v>
                </c:pt>
                <c:pt idx="7">
                  <c:v>No planificadas</c:v>
                </c:pt>
                <c:pt idx="8">
                  <c:v>COMPLETAR (falta info)</c:v>
                </c:pt>
              </c:strCache>
            </c:strRef>
          </c:cat>
          <c:val>
            <c:numRef>
              <c:f>Indicadores!$B$4:$B$12</c:f>
              <c:numCache>
                <c:formatCode>General</c:formatCode>
                <c:ptCount val="9"/>
                <c:pt idx="0">
                  <c:v>16</c:v>
                </c:pt>
                <c:pt idx="1">
                  <c:v>0</c:v>
                </c:pt>
                <c:pt idx="2">
                  <c:v>2</c:v>
                </c:pt>
                <c:pt idx="3">
                  <c:v>0</c:v>
                </c:pt>
                <c:pt idx="4">
                  <c:v>276</c:v>
                </c:pt>
                <c:pt idx="5">
                  <c:v>0</c:v>
                </c:pt>
                <c:pt idx="6">
                  <c:v>0</c:v>
                </c:pt>
                <c:pt idx="7">
                  <c:v>0</c:v>
                </c:pt>
                <c:pt idx="8">
                  <c:v>0</c:v>
                </c:pt>
              </c:numCache>
            </c:numRef>
          </c:val>
        </c:ser>
        <c:gapWidth val="60"/>
        <c:overlap val="0"/>
        <c:axId val="28791158"/>
        <c:axId val="78235351"/>
      </c:barChart>
      <c:catAx>
        <c:axId val="28791158"/>
        <c:scaling>
          <c:orientation val="minMax"/>
        </c:scaling>
        <c:delete val="0"/>
        <c:axPos val="b"/>
        <c:numFmt formatCode="General" sourceLinked="1"/>
        <c:majorTickMark val="none"/>
        <c:minorTickMark val="none"/>
        <c:tickLblPos val="nextTo"/>
        <c:spPr>
          <a:ln w="9360">
            <a:solidFill>
              <a:srgbClr val="d9d8d0"/>
            </a:solidFill>
            <a:round/>
          </a:ln>
        </c:spPr>
        <c:txPr>
          <a:bodyPr/>
          <a:lstStyle/>
          <a:p>
            <a:pPr>
              <a:defRPr b="0" sz="1000" spc="-1" strike="noStrike">
                <a:solidFill>
                  <a:srgbClr val="000000"/>
                </a:solidFill>
                <a:latin typeface="Calibri"/>
              </a:defRPr>
            </a:pPr>
          </a:p>
        </c:txPr>
        <c:crossAx val="78235351"/>
        <c:crosses val="autoZero"/>
        <c:auto val="1"/>
        <c:lblAlgn val="ctr"/>
        <c:lblOffset val="100"/>
        <c:noMultiLvlLbl val="0"/>
      </c:catAx>
      <c:valAx>
        <c:axId val="78235351"/>
        <c:scaling>
          <c:orientation val="maxMin"/>
        </c:scaling>
        <c:delete val="0"/>
        <c:axPos val="l"/>
        <c:numFmt formatCode="General" sourceLinked="1"/>
        <c:majorTickMark val="none"/>
        <c:minorTickMark val="none"/>
        <c:tickLblPos val="nextTo"/>
        <c:spPr>
          <a:ln w="9360">
            <a:solidFill>
              <a:srgbClr val="d9d8d0"/>
            </a:solidFill>
            <a:round/>
          </a:ln>
        </c:spPr>
        <c:txPr>
          <a:bodyPr/>
          <a:lstStyle/>
          <a:p>
            <a:pPr>
              <a:defRPr b="0" sz="1000" spc="-1" strike="noStrike">
                <a:solidFill>
                  <a:srgbClr val="000000"/>
                </a:solidFill>
                <a:latin typeface="Calibri"/>
              </a:defRPr>
            </a:pPr>
          </a:p>
        </c:txPr>
        <c:crossAx val="2879115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stacked"/>
        <c:varyColors val="0"/>
        <c:ser>
          <c:idx val="0"/>
          <c:order val="0"/>
          <c:tx>
            <c:strRef>
              <c:f>Indicadores!C100</c:f>
              <c:strCache>
                <c:ptCount val="1"/>
                <c:pt idx="0">
                  <c:v>Listo</c:v>
                </c:pt>
              </c:strCache>
            </c:strRef>
          </c:tx>
          <c:spPr>
            <a:solidFill>
              <a:srgbClr val="0ca30c"/>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Indicadores!$A$101:$A$107</c:f>
              <c:strCache>
                <c:ptCount val="7"/>
                <c:pt idx="0">
                  <c:v>AutoAtención</c:v>
                </c:pt>
                <c:pt idx="1">
                  <c:v>RAD</c:v>
                </c:pt>
                <c:pt idx="2">
                  <c:v>Licencias Médicas</c:v>
                </c:pt>
                <c:pt idx="3">
                  <c:v>Calificaciones</c:v>
                </c:pt>
                <c:pt idx="4">
                  <c:v>FORCAP</c:v>
                </c:pt>
                <c:pt idx="5">
                  <c:v>Portal SIRH</c:v>
                </c:pt>
                <c:pt idx="6">
                  <c:v>VALS</c:v>
                </c:pt>
              </c:strCache>
            </c:strRef>
          </c:cat>
          <c:val>
            <c:numRef>
              <c:f>Indicadores!$C$101:$C$107</c:f>
              <c:numCache>
                <c:formatCode>General</c:formatCode>
                <c:ptCount val="7"/>
                <c:pt idx="0">
                  <c:v>37</c:v>
                </c:pt>
                <c:pt idx="1">
                  <c:v>60</c:v>
                </c:pt>
                <c:pt idx="2">
                  <c:v>0</c:v>
                </c:pt>
                <c:pt idx="3">
                  <c:v>0</c:v>
                </c:pt>
                <c:pt idx="4">
                  <c:v>0</c:v>
                </c:pt>
                <c:pt idx="5">
                  <c:v>0</c:v>
                </c:pt>
                <c:pt idx="6">
                  <c:v>0</c:v>
                </c:pt>
              </c:numCache>
            </c:numRef>
          </c:val>
        </c:ser>
        <c:ser>
          <c:idx val="1"/>
          <c:order val="1"/>
          <c:tx>
            <c:strRef>
              <c:f>Indicadores!D100</c:f>
              <c:strCache>
                <c:ptCount val="1"/>
                <c:pt idx="0">
                  <c:v>Maqueta</c:v>
                </c:pt>
              </c:strCache>
            </c:strRef>
          </c:tx>
          <c:spPr>
            <a:solidFill>
              <a:srgbClr val="2a78d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Indicadores!$A$101:$A$107</c:f>
              <c:strCache>
                <c:ptCount val="7"/>
                <c:pt idx="0">
                  <c:v>AutoAtención</c:v>
                </c:pt>
                <c:pt idx="1">
                  <c:v>RAD</c:v>
                </c:pt>
                <c:pt idx="2">
                  <c:v>Licencias Médicas</c:v>
                </c:pt>
                <c:pt idx="3">
                  <c:v>Calificaciones</c:v>
                </c:pt>
                <c:pt idx="4">
                  <c:v>FORCAP</c:v>
                </c:pt>
                <c:pt idx="5">
                  <c:v>Portal SIRH</c:v>
                </c:pt>
                <c:pt idx="6">
                  <c:v>VALS</c:v>
                </c:pt>
              </c:strCache>
            </c:strRef>
          </c:cat>
          <c:val>
            <c:numRef>
              <c:f>Indicadores!$D$101:$D$107</c:f>
              <c:numCache>
                <c:formatCode>General</c:formatCode>
                <c:ptCount val="7"/>
                <c:pt idx="0">
                  <c:v>9</c:v>
                </c:pt>
                <c:pt idx="1">
                  <c:v>0</c:v>
                </c:pt>
                <c:pt idx="2">
                  <c:v>0</c:v>
                </c:pt>
                <c:pt idx="3">
                  <c:v>0</c:v>
                </c:pt>
                <c:pt idx="4">
                  <c:v>0</c:v>
                </c:pt>
                <c:pt idx="5">
                  <c:v>0</c:v>
                </c:pt>
                <c:pt idx="6">
                  <c:v>0</c:v>
                </c:pt>
              </c:numCache>
            </c:numRef>
          </c:val>
        </c:ser>
        <c:ser>
          <c:idx val="2"/>
          <c:order val="2"/>
          <c:tx>
            <c:strRef>
              <c:f>Indicadores!E100</c:f>
              <c:strCache>
                <c:ptCount val="1"/>
                <c:pt idx="0">
                  <c:v>Pendiente</c:v>
                </c:pt>
              </c:strCache>
            </c:strRef>
          </c:tx>
          <c:spPr>
            <a:solidFill>
              <a:srgbClr val="c985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Indicadores!$A$101:$A$107</c:f>
              <c:strCache>
                <c:ptCount val="7"/>
                <c:pt idx="0">
                  <c:v>AutoAtención</c:v>
                </c:pt>
                <c:pt idx="1">
                  <c:v>RAD</c:v>
                </c:pt>
                <c:pt idx="2">
                  <c:v>Licencias Médicas</c:v>
                </c:pt>
                <c:pt idx="3">
                  <c:v>Calificaciones</c:v>
                </c:pt>
                <c:pt idx="4">
                  <c:v>FORCAP</c:v>
                </c:pt>
                <c:pt idx="5">
                  <c:v>Portal SIRH</c:v>
                </c:pt>
                <c:pt idx="6">
                  <c:v>VALS</c:v>
                </c:pt>
              </c:strCache>
            </c:strRef>
          </c:cat>
          <c:val>
            <c:numRef>
              <c:f>Indicadores!$E$101:$E$107</c:f>
              <c:numCache>
                <c:formatCode>General</c:formatCode>
                <c:ptCount val="7"/>
                <c:pt idx="0">
                  <c:v>24</c:v>
                </c:pt>
                <c:pt idx="1">
                  <c:v>19</c:v>
                </c:pt>
                <c:pt idx="2">
                  <c:v>0</c:v>
                </c:pt>
                <c:pt idx="3">
                  <c:v>0</c:v>
                </c:pt>
                <c:pt idx="4">
                  <c:v>0</c:v>
                </c:pt>
                <c:pt idx="5">
                  <c:v>0</c:v>
                </c:pt>
                <c:pt idx="6">
                  <c:v>0</c:v>
                </c:pt>
              </c:numCache>
            </c:numRef>
          </c:val>
        </c:ser>
        <c:ser>
          <c:idx val="3"/>
          <c:order val="3"/>
          <c:tx>
            <c:strRef>
              <c:f>Indicadores!F100</c:f>
              <c:strCache>
                <c:ptCount val="1"/>
                <c:pt idx="0">
                  <c:v>Observado</c:v>
                </c:pt>
              </c:strCache>
            </c:strRef>
          </c:tx>
          <c:spPr>
            <a:solidFill>
              <a:srgbClr val="eb683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Indicadores!$A$101:$A$107</c:f>
              <c:strCache>
                <c:ptCount val="7"/>
                <c:pt idx="0">
                  <c:v>AutoAtención</c:v>
                </c:pt>
                <c:pt idx="1">
                  <c:v>RAD</c:v>
                </c:pt>
                <c:pt idx="2">
                  <c:v>Licencias Médicas</c:v>
                </c:pt>
                <c:pt idx="3">
                  <c:v>Calificaciones</c:v>
                </c:pt>
                <c:pt idx="4">
                  <c:v>FORCAP</c:v>
                </c:pt>
                <c:pt idx="5">
                  <c:v>Portal SIRH</c:v>
                </c:pt>
                <c:pt idx="6">
                  <c:v>VALS</c:v>
                </c:pt>
              </c:strCache>
            </c:strRef>
          </c:cat>
          <c:val>
            <c:numRef>
              <c:f>Indicadores!$F$101:$F$107</c:f>
              <c:numCache>
                <c:formatCode>General</c:formatCode>
                <c:ptCount val="7"/>
                <c:pt idx="0">
                  <c:v>0</c:v>
                </c:pt>
                <c:pt idx="1">
                  <c:v>8</c:v>
                </c:pt>
                <c:pt idx="2">
                  <c:v>0</c:v>
                </c:pt>
                <c:pt idx="3">
                  <c:v>0</c:v>
                </c:pt>
                <c:pt idx="4">
                  <c:v>0</c:v>
                </c:pt>
                <c:pt idx="5">
                  <c:v>0</c:v>
                </c:pt>
                <c:pt idx="6">
                  <c:v>0</c:v>
                </c:pt>
              </c:numCache>
            </c:numRef>
          </c:val>
        </c:ser>
        <c:gapWidth val="40"/>
        <c:overlap val="100"/>
        <c:axId val="6330466"/>
        <c:axId val="22475290"/>
      </c:barChart>
      <c:catAx>
        <c:axId val="6330466"/>
        <c:scaling>
          <c:orientation val="minMax"/>
        </c:scaling>
        <c:delete val="0"/>
        <c:axPos val="b"/>
        <c:numFmt formatCode="General" sourceLinked="1"/>
        <c:majorTickMark val="none"/>
        <c:minorTickMark val="none"/>
        <c:tickLblPos val="nextTo"/>
        <c:spPr>
          <a:ln w="9360">
            <a:solidFill>
              <a:srgbClr val="d9d8d0"/>
            </a:solidFill>
            <a:round/>
          </a:ln>
        </c:spPr>
        <c:txPr>
          <a:bodyPr/>
          <a:lstStyle/>
          <a:p>
            <a:pPr>
              <a:defRPr b="0" sz="1000" spc="-1" strike="noStrike">
                <a:solidFill>
                  <a:srgbClr val="000000"/>
                </a:solidFill>
                <a:latin typeface="Calibri"/>
              </a:defRPr>
            </a:pPr>
          </a:p>
        </c:txPr>
        <c:crossAx val="22475290"/>
        <c:crosses val="autoZero"/>
        <c:auto val="1"/>
        <c:lblAlgn val="ctr"/>
        <c:lblOffset val="100"/>
        <c:noMultiLvlLbl val="0"/>
      </c:catAx>
      <c:valAx>
        <c:axId val="22475290"/>
        <c:scaling>
          <c:orientation val="maxMin"/>
        </c:scaling>
        <c:delete val="0"/>
        <c:axPos val="l"/>
        <c:numFmt formatCode="General" sourceLinked="1"/>
        <c:majorTickMark val="none"/>
        <c:minorTickMark val="none"/>
        <c:tickLblPos val="nextTo"/>
        <c:spPr>
          <a:ln w="9360">
            <a:solidFill>
              <a:srgbClr val="d9d8d0"/>
            </a:solidFill>
            <a:round/>
          </a:ln>
        </c:spPr>
        <c:txPr>
          <a:bodyPr/>
          <a:lstStyle/>
          <a:p>
            <a:pPr>
              <a:defRPr b="0" sz="1000" spc="-1" strike="noStrike">
                <a:solidFill>
                  <a:srgbClr val="000000"/>
                </a:solidFill>
                <a:latin typeface="Calibri"/>
              </a:defRPr>
            </a:pPr>
          </a:p>
        </c:txPr>
        <c:crossAx val="633046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20</xdr:row>
      <xdr:rowOff>0</xdr:rowOff>
    </xdr:from>
    <xdr:to>
      <xdr:col>6</xdr:col>
      <xdr:colOff>245520</xdr:colOff>
      <xdr:row>31</xdr:row>
      <xdr:rowOff>139320</xdr:rowOff>
    </xdr:to>
    <xdr:graphicFrame>
      <xdr:nvGraphicFramePr>
        <xdr:cNvPr id="0" name="Chart 1"/>
        <xdr:cNvGraphicFramePr/>
      </xdr:nvGraphicFramePr>
      <xdr:xfrm>
        <a:off x="222120" y="3657600"/>
        <a:ext cx="5579640" cy="23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20</xdr:row>
      <xdr:rowOff>0</xdr:rowOff>
    </xdr:from>
    <xdr:to>
      <xdr:col>11</xdr:col>
      <xdr:colOff>579240</xdr:colOff>
      <xdr:row>33</xdr:row>
      <xdr:rowOff>135360</xdr:rowOff>
    </xdr:to>
    <xdr:graphicFrame>
      <xdr:nvGraphicFramePr>
        <xdr:cNvPr id="1" name="Chart 2"/>
        <xdr:cNvGraphicFramePr/>
      </xdr:nvGraphicFramePr>
      <xdr:xfrm>
        <a:off x="7689960" y="3657600"/>
        <a:ext cx="3779640" cy="2735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38</xdr:row>
      <xdr:rowOff>0</xdr:rowOff>
    </xdr:from>
    <xdr:to>
      <xdr:col>6</xdr:col>
      <xdr:colOff>245520</xdr:colOff>
      <xdr:row>49</xdr:row>
      <xdr:rowOff>139320</xdr:rowOff>
    </xdr:to>
    <xdr:graphicFrame>
      <xdr:nvGraphicFramePr>
        <xdr:cNvPr id="2" name="Chart 3"/>
        <xdr:cNvGraphicFramePr/>
      </xdr:nvGraphicFramePr>
      <xdr:xfrm>
        <a:off x="222120" y="7257960"/>
        <a:ext cx="5579640" cy="23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38</xdr:row>
      <xdr:rowOff>0</xdr:rowOff>
    </xdr:from>
    <xdr:to>
      <xdr:col>14</xdr:col>
      <xdr:colOff>23400</xdr:colOff>
      <xdr:row>49</xdr:row>
      <xdr:rowOff>139320</xdr:rowOff>
    </xdr:to>
    <xdr:graphicFrame>
      <xdr:nvGraphicFramePr>
        <xdr:cNvPr id="3" name="Chart 4"/>
        <xdr:cNvGraphicFramePr/>
      </xdr:nvGraphicFramePr>
      <xdr:xfrm>
        <a:off x="7689960" y="7257960"/>
        <a:ext cx="5579640" cy="23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56</xdr:row>
      <xdr:rowOff>0</xdr:rowOff>
    </xdr:from>
    <xdr:to>
      <xdr:col>6</xdr:col>
      <xdr:colOff>245520</xdr:colOff>
      <xdr:row>73</xdr:row>
      <xdr:rowOff>19440</xdr:rowOff>
    </xdr:to>
    <xdr:graphicFrame>
      <xdr:nvGraphicFramePr>
        <xdr:cNvPr id="4" name="Chart 5"/>
        <xdr:cNvGraphicFramePr/>
      </xdr:nvGraphicFramePr>
      <xdr:xfrm>
        <a:off x="222120" y="10858680"/>
        <a:ext cx="5579640" cy="341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N9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13" min="2" style="0" width="12"/>
    <col collapsed="false" customWidth="true" hidden="false" outlineLevel="0" max="14" min="14" style="0" width="2.5"/>
  </cols>
  <sheetData>
    <row r="1" customFormat="false" ht="6" hidden="false" customHeight="true" outlineLevel="0" collapsed="false">
      <c r="A1" s="1"/>
      <c r="B1" s="1"/>
      <c r="C1" s="1"/>
      <c r="D1" s="1"/>
      <c r="E1" s="1"/>
      <c r="F1" s="1"/>
      <c r="G1" s="1"/>
      <c r="H1" s="1"/>
      <c r="I1" s="1"/>
      <c r="J1" s="1"/>
      <c r="K1" s="1"/>
      <c r="L1" s="1"/>
      <c r="M1" s="1"/>
      <c r="N1" s="1"/>
    </row>
    <row r="2" customFormat="false" ht="15.75" hidden="false" customHeight="true" outlineLevel="0" collapsed="false">
      <c r="A2" s="2"/>
      <c r="B2" s="2"/>
      <c r="C2" s="2"/>
      <c r="D2" s="2"/>
      <c r="E2" s="2"/>
      <c r="F2" s="2"/>
      <c r="G2" s="2"/>
      <c r="H2" s="2"/>
      <c r="I2" s="2"/>
      <c r="J2" s="2"/>
      <c r="K2" s="2"/>
      <c r="L2" s="2"/>
      <c r="M2" s="2"/>
      <c r="N2" s="2"/>
    </row>
    <row r="3" customFormat="false" ht="25.5" hidden="false" customHeight="true" outlineLevel="0" collapsed="false">
      <c r="A3" s="2"/>
      <c r="B3" s="3" t="s">
        <v>0</v>
      </c>
      <c r="C3" s="3"/>
      <c r="D3" s="3"/>
      <c r="E3" s="3"/>
      <c r="F3" s="3"/>
      <c r="G3" s="3"/>
      <c r="H3" s="3"/>
      <c r="I3" s="4" t="s">
        <v>1</v>
      </c>
      <c r="J3" s="4"/>
      <c r="K3" s="4" t="s">
        <v>2</v>
      </c>
      <c r="L3" s="4"/>
      <c r="M3" s="4" t="s">
        <v>3</v>
      </c>
      <c r="N3" s="4"/>
    </row>
    <row r="4" customFormat="false" ht="15.75" hidden="false" customHeight="true" outlineLevel="0" collapsed="false">
      <c r="A4" s="2"/>
      <c r="B4" s="5" t="str">
        <f aca="true">"Actualizado: "&amp;TEXT(TODAY(),"dd/mm/yyyy")&amp;"   ·   Proyecto SIRH · MINSAL   ·   "&amp;Indicadores!B3&amp;" actividades en 10 etapas · 7 módulos"</f>
        <v>Actualizado: 05/08/2026   ·   Proyecto SIRH · MINSAL   ·   294 actividades en 10 etapas · 7 módulos</v>
      </c>
      <c r="C4" s="5"/>
      <c r="D4" s="5"/>
      <c r="E4" s="5"/>
      <c r="F4" s="5"/>
      <c r="G4" s="5"/>
      <c r="H4" s="5"/>
      <c r="I4" s="6" t="str">
        <f aca="false">Indicadores!B14</f>
        <v>NORMAL</v>
      </c>
      <c r="J4" s="6"/>
      <c r="K4" s="6" t="str">
        <f aca="false">IF(Indicadores!B10=0,"✅ Verde",IF(Indicadores!B10&lt;=2,"⚠️ Amarillo","🔴 Rojo"))</f>
        <v>✅ Verde</v>
      </c>
      <c r="L4" s="6"/>
      <c r="M4" s="7" t="n">
        <f aca="false">Indicadores!B13</f>
        <v>0.054421768707483</v>
      </c>
      <c r="N4" s="7"/>
    </row>
    <row r="5" customFormat="false" ht="19.5" hidden="false" customHeight="true" outlineLevel="0" collapsed="false">
      <c r="A5" s="2"/>
      <c r="B5" s="2"/>
      <c r="C5" s="2"/>
      <c r="D5" s="2"/>
      <c r="E5" s="2"/>
      <c r="F5" s="2"/>
      <c r="G5" s="2"/>
      <c r="H5" s="2"/>
      <c r="I5" s="8" t="s">
        <v>4</v>
      </c>
      <c r="J5" s="2"/>
      <c r="K5" s="9" t="str">
        <f aca="false">REPT("█",ROUND((Indicadores!B13)*34,0))&amp;REPT("░",34-ROUND((Indicadores!B13)*34,0))&amp;"   "&amp;TEXT(Indicadores!B13,"0.0%")</f>
        <v>██░░░░░░░░░░░░░░░░░░░░░░░░░░░░░░░░   5.4%</v>
      </c>
      <c r="L5" s="9"/>
      <c r="M5" s="9"/>
      <c r="N5" s="9"/>
    </row>
    <row r="6" customFormat="false" ht="7.5" hidden="false" customHeight="true" outlineLevel="0" collapsed="false">
      <c r="A6" s="2"/>
      <c r="B6" s="2"/>
      <c r="C6" s="2"/>
      <c r="D6" s="2"/>
      <c r="E6" s="2"/>
      <c r="F6" s="2"/>
      <c r="G6" s="2"/>
      <c r="H6" s="2"/>
      <c r="I6" s="2"/>
      <c r="J6" s="2"/>
      <c r="K6" s="2"/>
      <c r="L6" s="2"/>
      <c r="M6" s="2"/>
      <c r="N6" s="2"/>
    </row>
    <row r="7" customFormat="false" ht="15.75" hidden="false" customHeight="true" outlineLevel="0" collapsed="false">
      <c r="A7" s="2"/>
      <c r="B7" s="10" t="s">
        <v>5</v>
      </c>
      <c r="C7" s="2"/>
      <c r="D7" s="2"/>
      <c r="E7" s="2"/>
      <c r="F7" s="2"/>
      <c r="G7" s="2"/>
      <c r="H7" s="11" t="s">
        <v>6</v>
      </c>
      <c r="I7" s="2"/>
      <c r="J7" s="2"/>
      <c r="K7" s="2"/>
      <c r="L7" s="2"/>
      <c r="M7" s="2"/>
      <c r="N7" s="2"/>
    </row>
    <row r="8" customFormat="false" ht="6" hidden="false" customHeight="true" outlineLevel="0" collapsed="false">
      <c r="A8" s="2"/>
      <c r="B8" s="2"/>
      <c r="C8" s="2"/>
      <c r="D8" s="2"/>
      <c r="E8" s="2"/>
      <c r="F8" s="2"/>
      <c r="G8" s="2"/>
      <c r="H8" s="2"/>
      <c r="I8" s="2"/>
      <c r="J8" s="2"/>
      <c r="K8" s="2"/>
      <c r="L8" s="2"/>
      <c r="M8" s="2"/>
      <c r="N8" s="2"/>
    </row>
    <row r="9" customFormat="false" ht="15.75" hidden="false" customHeight="true" outlineLevel="0" collapsed="false">
      <c r="A9" s="2"/>
      <c r="B9" s="12"/>
      <c r="C9" s="13"/>
      <c r="D9" s="14"/>
      <c r="E9" s="15"/>
      <c r="F9" s="16"/>
      <c r="G9" s="17"/>
      <c r="H9" s="18"/>
      <c r="I9" s="19"/>
      <c r="J9" s="20"/>
      <c r="K9" s="21"/>
      <c r="L9" s="22"/>
      <c r="M9" s="23"/>
      <c r="N9" s="2"/>
    </row>
    <row r="10" customFormat="false" ht="15.75" hidden="false" customHeight="true" outlineLevel="0" collapsed="false">
      <c r="A10" s="2"/>
      <c r="B10" s="24" t="s">
        <v>7</v>
      </c>
      <c r="C10" s="24"/>
      <c r="D10" s="25" t="s">
        <v>8</v>
      </c>
      <c r="E10" s="25"/>
      <c r="F10" s="26" t="s">
        <v>9</v>
      </c>
      <c r="G10" s="26"/>
      <c r="H10" s="27" t="s">
        <v>10</v>
      </c>
      <c r="I10" s="27"/>
      <c r="J10" s="28" t="s">
        <v>11</v>
      </c>
      <c r="K10" s="28"/>
      <c r="L10" s="29" t="s">
        <v>12</v>
      </c>
      <c r="M10" s="29"/>
      <c r="N10" s="2"/>
    </row>
    <row r="11" customFormat="false" ht="15.75" hidden="false" customHeight="true" outlineLevel="0" collapsed="false">
      <c r="A11" s="2"/>
      <c r="B11" s="30" t="n">
        <f aca="false">Indicadores!B3</f>
        <v>294</v>
      </c>
      <c r="C11" s="30"/>
      <c r="D11" s="31" t="n">
        <f aca="false">Indicadores!B4</f>
        <v>16</v>
      </c>
      <c r="E11" s="31"/>
      <c r="F11" s="32" t="n">
        <f aca="false">Indicadores!B6</f>
        <v>2</v>
      </c>
      <c r="G11" s="32"/>
      <c r="H11" s="33" t="n">
        <f aca="false">Indicadores!B10</f>
        <v>0</v>
      </c>
      <c r="I11" s="33"/>
      <c r="J11" s="34" t="n">
        <f aca="false">Indicadores!B9</f>
        <v>0</v>
      </c>
      <c r="K11" s="34"/>
      <c r="L11" s="35" t="n">
        <f aca="false">Indicadores!B8</f>
        <v>276</v>
      </c>
      <c r="M11" s="35"/>
      <c r="N11" s="2"/>
    </row>
    <row r="12" customFormat="false" ht="15.75" hidden="false" customHeight="true" outlineLevel="0" collapsed="false">
      <c r="A12" s="2"/>
      <c r="B12" s="30"/>
      <c r="C12" s="30"/>
      <c r="D12" s="31"/>
      <c r="E12" s="31"/>
      <c r="F12" s="32"/>
      <c r="G12" s="32"/>
      <c r="H12" s="33"/>
      <c r="I12" s="33"/>
      <c r="J12" s="34"/>
      <c r="K12" s="34"/>
      <c r="L12" s="35"/>
      <c r="M12" s="35"/>
      <c r="N12" s="2"/>
    </row>
    <row r="13" customFormat="false" ht="7.5" hidden="false" customHeight="true" outlineLevel="0" collapsed="false">
      <c r="A13" s="2"/>
      <c r="B13" s="2"/>
      <c r="C13" s="2"/>
      <c r="D13" s="2"/>
      <c r="E13" s="2"/>
      <c r="F13" s="2"/>
      <c r="G13" s="2"/>
      <c r="H13" s="2"/>
      <c r="I13" s="2"/>
      <c r="J13" s="2"/>
      <c r="K13" s="2"/>
      <c r="L13" s="2"/>
      <c r="M13" s="2"/>
      <c r="N13" s="2"/>
    </row>
    <row r="14" customFormat="false" ht="15.75" hidden="false" customHeight="true" outlineLevel="0" collapsed="false">
      <c r="A14" s="2"/>
      <c r="B14" s="10" t="s">
        <v>13</v>
      </c>
      <c r="C14" s="2"/>
      <c r="D14" s="2"/>
      <c r="E14" s="2"/>
      <c r="F14" s="2"/>
      <c r="G14" s="2"/>
      <c r="H14" s="11" t="s">
        <v>14</v>
      </c>
      <c r="I14" s="2"/>
      <c r="J14" s="2"/>
      <c r="K14" s="2"/>
      <c r="L14" s="2"/>
      <c r="M14" s="2"/>
      <c r="N14" s="2"/>
    </row>
    <row r="15" customFormat="false" ht="6" hidden="false" customHeight="true" outlineLevel="0" collapsed="false">
      <c r="A15" s="2"/>
      <c r="B15" s="2"/>
      <c r="C15" s="2"/>
      <c r="D15" s="2"/>
      <c r="E15" s="2"/>
      <c r="F15" s="2"/>
      <c r="G15" s="2"/>
      <c r="H15" s="2"/>
      <c r="I15" s="2"/>
      <c r="J15" s="2"/>
      <c r="K15" s="2"/>
      <c r="L15" s="2"/>
      <c r="M15" s="2"/>
      <c r="N15" s="2"/>
    </row>
    <row r="16" customFormat="false" ht="19.5" hidden="false" customHeight="true" outlineLevel="0" collapsed="false">
      <c r="A16" s="2"/>
      <c r="B16" s="8" t="s">
        <v>15</v>
      </c>
      <c r="C16" s="2"/>
      <c r="D16" s="9" t="str">
        <f aca="false">REPT("█",ROUND((Indicadores!B13)*34,0))&amp;REPT("░",34-ROUND((Indicadores!B13)*34,0))&amp;"   "&amp;TEXT(Indicadores!B13,"0.0%")</f>
        <v>██░░░░░░░░░░░░░░░░░░░░░░░░░░░░░░░░   5.4%</v>
      </c>
      <c r="E16" s="9"/>
      <c r="F16" s="9"/>
      <c r="G16" s="9"/>
      <c r="H16" s="9"/>
      <c r="I16" s="9"/>
      <c r="J16" s="9"/>
      <c r="K16" s="9"/>
      <c r="L16" s="9"/>
      <c r="M16" s="9"/>
      <c r="N16" s="2"/>
    </row>
    <row r="17" customFormat="false" ht="19.5" hidden="false" customHeight="true" outlineLevel="0" collapsed="false">
      <c r="A17" s="2"/>
      <c r="B17" s="8" t="s">
        <v>16</v>
      </c>
      <c r="C17" s="2"/>
      <c r="D17" s="36" t="str">
        <f aca="false">REPT("█",ROUND((Indicadores!B117)*34,0))&amp;REPT("░",34-ROUND((Indicadores!B117)*34,0))&amp;"   "&amp;TEXT(Indicadores!B117,"0.0%")</f>
        <v>███████████████░░░░░░░░░░░░░░░░░░░   44.7%</v>
      </c>
      <c r="E17" s="36"/>
      <c r="F17" s="36"/>
      <c r="G17" s="36"/>
      <c r="H17" s="36"/>
      <c r="I17" s="36"/>
      <c r="J17" s="36"/>
      <c r="K17" s="36"/>
      <c r="L17" s="36"/>
      <c r="M17" s="36"/>
      <c r="N17" s="2"/>
    </row>
    <row r="18" customFormat="false" ht="19.5" hidden="false" customHeight="true" outlineLevel="0" collapsed="false">
      <c r="A18" s="2"/>
      <c r="B18" s="8" t="s">
        <v>17</v>
      </c>
      <c r="C18" s="2"/>
      <c r="D18" s="37" t="str">
        <f aca="false">REPT("█",ROUND((Indicadores!B118)*34,0))&amp;REPT("░",34-ROUND((Indicadores!B118)*34,0))&amp;"   "&amp;TEXT(Indicadores!B118,"0.0%")</f>
        <v>█████████████████░░░░░░░░░░░░░░░░░   48.8%</v>
      </c>
      <c r="E18" s="37"/>
      <c r="F18" s="37"/>
      <c r="G18" s="37"/>
      <c r="H18" s="37"/>
      <c r="I18" s="37"/>
      <c r="J18" s="37"/>
      <c r="K18" s="37"/>
      <c r="L18" s="37"/>
      <c r="M18" s="37"/>
      <c r="N18" s="2"/>
    </row>
    <row r="19" customFormat="false" ht="9.75" hidden="false" customHeight="true" outlineLevel="0" collapsed="false">
      <c r="A19" s="2"/>
      <c r="B19" s="2"/>
      <c r="C19" s="2"/>
      <c r="D19" s="2"/>
      <c r="E19" s="2"/>
      <c r="F19" s="2"/>
      <c r="G19" s="2"/>
      <c r="H19" s="2"/>
      <c r="I19" s="2"/>
      <c r="J19" s="2"/>
      <c r="K19" s="2"/>
      <c r="L19" s="2"/>
      <c r="M19" s="2"/>
      <c r="N19" s="2"/>
    </row>
    <row r="20" customFormat="false" ht="15.75" hidden="false" customHeight="true" outlineLevel="0" collapsed="false">
      <c r="A20" s="2"/>
      <c r="B20" s="10" t="s">
        <v>18</v>
      </c>
      <c r="C20" s="2"/>
      <c r="D20" s="2"/>
      <c r="E20" s="2"/>
      <c r="F20" s="2"/>
      <c r="G20" s="2"/>
      <c r="H20" s="11" t="s">
        <v>19</v>
      </c>
      <c r="I20" s="10" t="s">
        <v>20</v>
      </c>
      <c r="J20" s="2"/>
      <c r="K20" s="2"/>
      <c r="L20" s="2"/>
      <c r="M20" s="2"/>
      <c r="N20" s="2"/>
    </row>
    <row r="21" customFormat="false" ht="15.75" hidden="false" customHeight="true" outlineLevel="0" collapsed="false">
      <c r="A21" s="2"/>
      <c r="B21" s="2"/>
      <c r="C21" s="2"/>
      <c r="D21" s="2"/>
      <c r="E21" s="2"/>
      <c r="F21" s="2"/>
      <c r="G21" s="2"/>
      <c r="H21" s="2"/>
      <c r="I21" s="2"/>
      <c r="J21" s="2"/>
      <c r="K21" s="2"/>
      <c r="L21" s="2"/>
      <c r="M21" s="2"/>
      <c r="N21" s="2"/>
    </row>
    <row r="22" customFormat="false" ht="15.75" hidden="false" customHeight="true" outlineLevel="0" collapsed="false">
      <c r="A22" s="2"/>
      <c r="B22" s="2"/>
      <c r="C22" s="2"/>
      <c r="D22" s="2"/>
      <c r="E22" s="2"/>
      <c r="F22" s="2"/>
      <c r="G22" s="2"/>
      <c r="H22" s="2"/>
      <c r="I22" s="2"/>
      <c r="J22" s="2"/>
      <c r="K22" s="2"/>
      <c r="L22" s="2"/>
      <c r="M22" s="2"/>
      <c r="N22" s="2"/>
    </row>
    <row r="23" customFormat="false" ht="15.75" hidden="false" customHeight="true" outlineLevel="0" collapsed="false">
      <c r="A23" s="2"/>
      <c r="B23" s="2"/>
      <c r="C23" s="2"/>
      <c r="D23" s="2"/>
      <c r="E23" s="2"/>
      <c r="F23" s="2"/>
      <c r="G23" s="2"/>
      <c r="H23" s="2"/>
      <c r="I23" s="2"/>
      <c r="J23" s="2"/>
      <c r="K23" s="2"/>
      <c r="L23" s="2"/>
      <c r="M23" s="2"/>
      <c r="N23" s="2"/>
    </row>
    <row r="24" customFormat="false" ht="15.75" hidden="false" customHeight="true" outlineLevel="0" collapsed="false">
      <c r="A24" s="2"/>
      <c r="B24" s="2"/>
      <c r="C24" s="2"/>
      <c r="D24" s="2"/>
      <c r="E24" s="2"/>
      <c r="F24" s="2"/>
      <c r="G24" s="2"/>
      <c r="H24" s="2"/>
      <c r="I24" s="2"/>
      <c r="J24" s="2"/>
      <c r="K24" s="2"/>
      <c r="L24" s="2"/>
      <c r="M24" s="2"/>
      <c r="N24" s="2"/>
    </row>
    <row r="25" customFormat="false" ht="15.75" hidden="false" customHeight="true" outlineLevel="0" collapsed="false">
      <c r="A25" s="2"/>
      <c r="B25" s="2"/>
      <c r="C25" s="2"/>
      <c r="D25" s="2"/>
      <c r="E25" s="2"/>
      <c r="F25" s="2"/>
      <c r="G25" s="2"/>
      <c r="H25" s="2"/>
      <c r="I25" s="2"/>
      <c r="J25" s="2"/>
      <c r="K25" s="2"/>
      <c r="L25" s="2"/>
      <c r="M25" s="2"/>
      <c r="N25" s="2"/>
    </row>
    <row r="26" customFormat="false" ht="15.75" hidden="false" customHeight="true" outlineLevel="0" collapsed="false">
      <c r="A26" s="2"/>
      <c r="B26" s="2"/>
      <c r="C26" s="2"/>
      <c r="D26" s="2"/>
      <c r="E26" s="2"/>
      <c r="F26" s="2"/>
      <c r="G26" s="2"/>
      <c r="H26" s="2"/>
      <c r="I26" s="2"/>
      <c r="J26" s="2"/>
      <c r="K26" s="2"/>
      <c r="L26" s="2"/>
      <c r="M26" s="2"/>
      <c r="N26" s="2"/>
    </row>
    <row r="27" customFormat="false" ht="15.75" hidden="false" customHeight="true" outlineLevel="0" collapsed="false">
      <c r="A27" s="2"/>
      <c r="B27" s="2"/>
      <c r="C27" s="2"/>
      <c r="D27" s="2"/>
      <c r="E27" s="2"/>
      <c r="F27" s="2"/>
      <c r="G27" s="2"/>
      <c r="H27" s="2"/>
      <c r="I27" s="2"/>
      <c r="J27" s="2"/>
      <c r="K27" s="2"/>
      <c r="L27" s="2"/>
      <c r="M27" s="2"/>
      <c r="N27" s="2"/>
    </row>
    <row r="28" customFormat="false" ht="15.75" hidden="false" customHeight="true" outlineLevel="0" collapsed="false">
      <c r="A28" s="2"/>
      <c r="B28" s="2"/>
      <c r="C28" s="2"/>
      <c r="D28" s="2"/>
      <c r="E28" s="2"/>
      <c r="F28" s="2"/>
      <c r="G28" s="2"/>
      <c r="H28" s="2"/>
      <c r="I28" s="2"/>
      <c r="J28" s="2"/>
      <c r="K28" s="2"/>
      <c r="L28" s="2"/>
      <c r="M28" s="2"/>
      <c r="N28" s="2"/>
    </row>
    <row r="29" customFormat="false" ht="15.75" hidden="false" customHeight="true" outlineLevel="0" collapsed="false">
      <c r="A29" s="2"/>
      <c r="B29" s="2"/>
      <c r="C29" s="2"/>
      <c r="D29" s="2"/>
      <c r="E29" s="2"/>
      <c r="F29" s="2"/>
      <c r="G29" s="2"/>
      <c r="H29" s="2"/>
      <c r="I29" s="2"/>
      <c r="J29" s="2"/>
      <c r="K29" s="2"/>
      <c r="L29" s="2"/>
      <c r="M29" s="2"/>
      <c r="N29" s="2"/>
    </row>
    <row r="30" customFormat="false" ht="15.75" hidden="false" customHeight="true" outlineLevel="0" collapsed="false">
      <c r="A30" s="2"/>
      <c r="B30" s="2"/>
      <c r="C30" s="2"/>
      <c r="D30" s="2"/>
      <c r="E30" s="2"/>
      <c r="F30" s="2"/>
      <c r="G30" s="2"/>
      <c r="H30" s="2"/>
      <c r="I30" s="2"/>
      <c r="J30" s="2"/>
      <c r="K30" s="2"/>
      <c r="L30" s="2"/>
      <c r="M30" s="2"/>
      <c r="N30" s="2"/>
    </row>
    <row r="31" customFormat="false" ht="15.75" hidden="false" customHeight="true" outlineLevel="0" collapsed="false">
      <c r="A31" s="2"/>
      <c r="B31" s="2"/>
      <c r="C31" s="2"/>
      <c r="D31" s="2"/>
      <c r="E31" s="2"/>
      <c r="F31" s="2"/>
      <c r="G31" s="2"/>
      <c r="H31" s="2"/>
      <c r="I31" s="2"/>
      <c r="J31" s="2"/>
      <c r="K31" s="2"/>
      <c r="L31" s="2"/>
      <c r="M31" s="2"/>
      <c r="N31" s="2"/>
    </row>
    <row r="32" customFormat="false" ht="15.75" hidden="false" customHeight="true" outlineLevel="0" collapsed="false">
      <c r="A32" s="2"/>
      <c r="B32" s="2"/>
      <c r="C32" s="2"/>
      <c r="D32" s="2"/>
      <c r="E32" s="2"/>
      <c r="F32" s="2"/>
      <c r="G32" s="2"/>
      <c r="H32" s="2"/>
      <c r="I32" s="2"/>
      <c r="J32" s="2"/>
      <c r="K32" s="2"/>
      <c r="L32" s="2"/>
      <c r="M32" s="2"/>
      <c r="N32" s="2"/>
    </row>
    <row r="33" customFormat="false" ht="15.75" hidden="false" customHeight="true" outlineLevel="0" collapsed="false">
      <c r="A33" s="2"/>
      <c r="B33" s="2"/>
      <c r="C33" s="2"/>
      <c r="D33" s="2"/>
      <c r="E33" s="2"/>
      <c r="F33" s="2"/>
      <c r="G33" s="2"/>
      <c r="H33" s="2"/>
      <c r="I33" s="2"/>
      <c r="J33" s="2"/>
      <c r="K33" s="2"/>
      <c r="L33" s="2"/>
      <c r="M33" s="2"/>
      <c r="N33" s="2"/>
    </row>
    <row r="34" customFormat="false" ht="15.75" hidden="false" customHeight="true" outlineLevel="0" collapsed="false">
      <c r="A34" s="2"/>
      <c r="B34" s="2"/>
      <c r="C34" s="2"/>
      <c r="D34" s="2"/>
      <c r="E34" s="2"/>
      <c r="F34" s="2"/>
      <c r="G34" s="2"/>
      <c r="H34" s="2"/>
      <c r="I34" s="2"/>
      <c r="J34" s="2"/>
      <c r="K34" s="2"/>
      <c r="L34" s="2"/>
      <c r="M34" s="2"/>
      <c r="N34" s="2"/>
    </row>
    <row r="35" customFormat="false" ht="15.75" hidden="false" customHeight="true" outlineLevel="0" collapsed="false">
      <c r="A35" s="2"/>
      <c r="B35" s="2"/>
      <c r="C35" s="2"/>
      <c r="D35" s="2"/>
      <c r="E35" s="2"/>
      <c r="F35" s="2"/>
      <c r="G35" s="2"/>
      <c r="H35" s="2"/>
      <c r="I35" s="2"/>
      <c r="J35" s="2"/>
      <c r="K35" s="2"/>
      <c r="L35" s="2"/>
      <c r="M35" s="2"/>
      <c r="N35" s="2"/>
    </row>
    <row r="36" customFormat="false" ht="15.75" hidden="false" customHeight="true" outlineLevel="0" collapsed="false">
      <c r="A36" s="2"/>
      <c r="B36" s="2"/>
      <c r="C36" s="2"/>
      <c r="D36" s="2"/>
      <c r="E36" s="2"/>
      <c r="F36" s="2"/>
      <c r="G36" s="2"/>
      <c r="H36" s="2"/>
      <c r="I36" s="2"/>
      <c r="J36" s="2"/>
      <c r="K36" s="2"/>
      <c r="L36" s="2"/>
      <c r="M36" s="2"/>
      <c r="N36" s="2"/>
    </row>
    <row r="37" customFormat="false" ht="15.75" hidden="false" customHeight="true" outlineLevel="0" collapsed="false">
      <c r="A37" s="2"/>
      <c r="B37" s="2"/>
      <c r="C37" s="2"/>
      <c r="D37" s="2"/>
      <c r="E37" s="2"/>
      <c r="F37" s="2"/>
      <c r="G37" s="2"/>
      <c r="H37" s="2"/>
      <c r="I37" s="2"/>
      <c r="J37" s="2"/>
      <c r="K37" s="2"/>
      <c r="L37" s="2"/>
      <c r="M37" s="2"/>
      <c r="N37" s="2"/>
    </row>
    <row r="38" customFormat="false" ht="15.75" hidden="false" customHeight="true" outlineLevel="0" collapsed="false">
      <c r="A38" s="2"/>
      <c r="B38" s="10" t="s">
        <v>21</v>
      </c>
      <c r="C38" s="2"/>
      <c r="D38" s="2"/>
      <c r="E38" s="2"/>
      <c r="F38" s="2"/>
      <c r="G38" s="2"/>
      <c r="H38" s="11" t="s">
        <v>22</v>
      </c>
      <c r="I38" s="10" t="s">
        <v>23</v>
      </c>
      <c r="J38" s="2"/>
      <c r="K38" s="2"/>
      <c r="L38" s="2"/>
      <c r="M38" s="2"/>
      <c r="N38" s="2"/>
    </row>
    <row r="39" customFormat="false" ht="15.75" hidden="false" customHeight="true" outlineLevel="0" collapsed="false">
      <c r="A39" s="2"/>
      <c r="B39" s="2"/>
      <c r="C39" s="2"/>
      <c r="D39" s="2"/>
      <c r="E39" s="2"/>
      <c r="F39" s="2"/>
      <c r="G39" s="2"/>
      <c r="H39" s="2"/>
      <c r="I39" s="2"/>
      <c r="J39" s="2"/>
      <c r="K39" s="2"/>
      <c r="L39" s="2"/>
      <c r="M39" s="2"/>
      <c r="N39" s="2"/>
    </row>
    <row r="40" customFormat="false" ht="15.75" hidden="false" customHeight="true" outlineLevel="0" collapsed="false">
      <c r="A40" s="2"/>
      <c r="B40" s="2"/>
      <c r="C40" s="2"/>
      <c r="D40" s="2"/>
      <c r="E40" s="2"/>
      <c r="F40" s="2"/>
      <c r="G40" s="2"/>
      <c r="H40" s="2"/>
      <c r="I40" s="2"/>
      <c r="J40" s="2"/>
      <c r="K40" s="2"/>
      <c r="L40" s="2"/>
      <c r="M40" s="2"/>
      <c r="N40" s="2"/>
    </row>
    <row r="41" customFormat="false" ht="15.75" hidden="false" customHeight="true" outlineLevel="0" collapsed="false">
      <c r="A41" s="2"/>
      <c r="B41" s="2"/>
      <c r="C41" s="2"/>
      <c r="D41" s="2"/>
      <c r="E41" s="2"/>
      <c r="F41" s="2"/>
      <c r="G41" s="2"/>
      <c r="H41" s="2"/>
      <c r="I41" s="2"/>
      <c r="J41" s="2"/>
      <c r="K41" s="2"/>
      <c r="L41" s="2"/>
      <c r="M41" s="2"/>
      <c r="N41" s="2"/>
    </row>
    <row r="42" customFormat="false" ht="15.75" hidden="false" customHeight="true" outlineLevel="0" collapsed="false">
      <c r="A42" s="2"/>
      <c r="B42" s="2"/>
      <c r="C42" s="2"/>
      <c r="D42" s="2"/>
      <c r="E42" s="2"/>
      <c r="F42" s="2"/>
      <c r="G42" s="2"/>
      <c r="H42" s="2"/>
      <c r="I42" s="2"/>
      <c r="J42" s="2"/>
      <c r="K42" s="2"/>
      <c r="L42" s="2"/>
      <c r="M42" s="2"/>
      <c r="N42" s="2"/>
    </row>
    <row r="43" customFormat="false" ht="15.75" hidden="false" customHeight="true" outlineLevel="0" collapsed="false">
      <c r="A43" s="2"/>
      <c r="B43" s="2"/>
      <c r="C43" s="2"/>
      <c r="D43" s="2"/>
      <c r="E43" s="2"/>
      <c r="F43" s="2"/>
      <c r="G43" s="2"/>
      <c r="H43" s="2"/>
      <c r="I43" s="2"/>
      <c r="J43" s="2"/>
      <c r="K43" s="2"/>
      <c r="L43" s="2"/>
      <c r="M43" s="2"/>
      <c r="N43" s="2"/>
    </row>
    <row r="44" customFormat="false" ht="15.75" hidden="false" customHeight="true" outlineLevel="0" collapsed="false">
      <c r="A44" s="2"/>
      <c r="B44" s="2"/>
      <c r="C44" s="2"/>
      <c r="D44" s="2"/>
      <c r="E44" s="2"/>
      <c r="F44" s="2"/>
      <c r="G44" s="2"/>
      <c r="H44" s="2"/>
      <c r="I44" s="2"/>
      <c r="J44" s="2"/>
      <c r="K44" s="2"/>
      <c r="L44" s="2"/>
      <c r="M44" s="2"/>
      <c r="N44" s="2"/>
    </row>
    <row r="45" customFormat="false" ht="15.75" hidden="false" customHeight="true" outlineLevel="0" collapsed="false">
      <c r="A45" s="2"/>
      <c r="B45" s="2"/>
      <c r="C45" s="2"/>
      <c r="D45" s="2"/>
      <c r="E45" s="2"/>
      <c r="F45" s="2"/>
      <c r="G45" s="2"/>
      <c r="H45" s="2"/>
      <c r="I45" s="2"/>
      <c r="J45" s="2"/>
      <c r="K45" s="2"/>
      <c r="L45" s="2"/>
      <c r="M45" s="2"/>
      <c r="N45" s="2"/>
    </row>
    <row r="46" customFormat="false" ht="15.75" hidden="false" customHeight="true" outlineLevel="0" collapsed="false">
      <c r="A46" s="2"/>
      <c r="B46" s="2"/>
      <c r="C46" s="2"/>
      <c r="D46" s="2"/>
      <c r="E46" s="2"/>
      <c r="F46" s="2"/>
      <c r="G46" s="2"/>
      <c r="H46" s="2"/>
      <c r="I46" s="2"/>
      <c r="J46" s="2"/>
      <c r="K46" s="2"/>
      <c r="L46" s="2"/>
      <c r="M46" s="2"/>
      <c r="N46" s="2"/>
    </row>
    <row r="47" customFormat="false" ht="15.75" hidden="false" customHeight="true" outlineLevel="0" collapsed="false">
      <c r="A47" s="2"/>
      <c r="B47" s="2"/>
      <c r="C47" s="2"/>
      <c r="D47" s="2"/>
      <c r="E47" s="2"/>
      <c r="F47" s="2"/>
      <c r="G47" s="2"/>
      <c r="H47" s="2"/>
      <c r="I47" s="2"/>
      <c r="J47" s="2"/>
      <c r="K47" s="2"/>
      <c r="L47" s="2"/>
      <c r="M47" s="2"/>
      <c r="N47" s="2"/>
    </row>
    <row r="48" customFormat="false" ht="15.75" hidden="false" customHeight="true" outlineLevel="0" collapsed="false">
      <c r="A48" s="2"/>
      <c r="B48" s="2"/>
      <c r="C48" s="2"/>
      <c r="D48" s="2"/>
      <c r="E48" s="2"/>
      <c r="F48" s="2"/>
      <c r="G48" s="2"/>
      <c r="H48" s="2"/>
      <c r="I48" s="2"/>
      <c r="J48" s="2"/>
      <c r="K48" s="2"/>
      <c r="L48" s="2"/>
      <c r="M48" s="2"/>
      <c r="N48" s="2"/>
    </row>
    <row r="49" customFormat="false" ht="15.75" hidden="false" customHeight="true" outlineLevel="0" collapsed="false">
      <c r="A49" s="2"/>
      <c r="B49" s="2"/>
      <c r="C49" s="2"/>
      <c r="D49" s="2"/>
      <c r="E49" s="2"/>
      <c r="F49" s="2"/>
      <c r="G49" s="2"/>
      <c r="H49" s="2"/>
      <c r="I49" s="2"/>
      <c r="J49" s="2"/>
      <c r="K49" s="2"/>
      <c r="L49" s="2"/>
      <c r="M49" s="2"/>
      <c r="N49" s="2"/>
    </row>
    <row r="50" customFormat="false" ht="15.75" hidden="false" customHeight="true" outlineLevel="0" collapsed="false">
      <c r="A50" s="2"/>
      <c r="B50" s="2"/>
      <c r="C50" s="2"/>
      <c r="D50" s="2"/>
      <c r="E50" s="2"/>
      <c r="F50" s="2"/>
      <c r="G50" s="2"/>
      <c r="H50" s="2"/>
      <c r="I50" s="2"/>
      <c r="J50" s="2"/>
      <c r="K50" s="2"/>
      <c r="L50" s="2"/>
      <c r="M50" s="2"/>
      <c r="N50" s="2"/>
    </row>
    <row r="51" customFormat="false" ht="15.75" hidden="false" customHeight="true" outlineLevel="0" collapsed="false">
      <c r="A51" s="2"/>
      <c r="B51" s="2"/>
      <c r="C51" s="2"/>
      <c r="D51" s="2"/>
      <c r="E51" s="2"/>
      <c r="F51" s="2"/>
      <c r="G51" s="2"/>
      <c r="H51" s="2"/>
      <c r="I51" s="2"/>
      <c r="J51" s="2"/>
      <c r="K51" s="2"/>
      <c r="L51" s="2"/>
      <c r="M51" s="2"/>
      <c r="N51" s="2"/>
    </row>
    <row r="52" customFormat="false" ht="15.75" hidden="false" customHeight="true" outlineLevel="0" collapsed="false">
      <c r="A52" s="2"/>
      <c r="B52" s="2"/>
      <c r="C52" s="2"/>
      <c r="D52" s="2"/>
      <c r="E52" s="2"/>
      <c r="F52" s="2"/>
      <c r="G52" s="2"/>
      <c r="H52" s="2"/>
      <c r="I52" s="2"/>
      <c r="J52" s="2"/>
      <c r="K52" s="2"/>
      <c r="L52" s="2"/>
      <c r="M52" s="2"/>
      <c r="N52" s="2"/>
    </row>
    <row r="53" customFormat="false" ht="15.75" hidden="false" customHeight="true" outlineLevel="0" collapsed="false">
      <c r="A53" s="2"/>
      <c r="B53" s="2"/>
      <c r="C53" s="2"/>
      <c r="D53" s="2"/>
      <c r="E53" s="2"/>
      <c r="F53" s="2"/>
      <c r="G53" s="2"/>
      <c r="H53" s="2"/>
      <c r="I53" s="2"/>
      <c r="J53" s="2"/>
      <c r="K53" s="2"/>
      <c r="L53" s="2"/>
      <c r="M53" s="2"/>
      <c r="N53" s="2"/>
    </row>
    <row r="54" customFormat="false" ht="15.75" hidden="false" customHeight="true" outlineLevel="0" collapsed="false">
      <c r="A54" s="2"/>
      <c r="B54" s="2"/>
      <c r="C54" s="2"/>
      <c r="D54" s="2"/>
      <c r="E54" s="2"/>
      <c r="F54" s="2"/>
      <c r="G54" s="2"/>
      <c r="H54" s="2"/>
      <c r="I54" s="2"/>
      <c r="J54" s="2"/>
      <c r="K54" s="2"/>
      <c r="L54" s="2"/>
      <c r="M54" s="2"/>
      <c r="N54" s="2"/>
    </row>
    <row r="55" customFormat="false" ht="15.75" hidden="false" customHeight="true" outlineLevel="0" collapsed="false">
      <c r="A55" s="2"/>
      <c r="B55" s="2"/>
      <c r="C55" s="2"/>
      <c r="D55" s="2"/>
      <c r="E55" s="2"/>
      <c r="F55" s="2"/>
      <c r="G55" s="2"/>
      <c r="H55" s="2"/>
      <c r="I55" s="2"/>
      <c r="J55" s="2"/>
      <c r="K55" s="2"/>
      <c r="L55" s="2"/>
      <c r="M55" s="2"/>
      <c r="N55" s="2"/>
    </row>
    <row r="56" customFormat="false" ht="15.75" hidden="false" customHeight="true" outlineLevel="0" collapsed="false">
      <c r="A56" s="2"/>
      <c r="B56" s="10" t="s">
        <v>24</v>
      </c>
      <c r="C56" s="2"/>
      <c r="D56" s="2"/>
      <c r="E56" s="2"/>
      <c r="F56" s="2"/>
      <c r="G56" s="2"/>
      <c r="H56" s="11" t="s">
        <v>25</v>
      </c>
      <c r="I56" s="10" t="s">
        <v>26</v>
      </c>
      <c r="J56" s="2"/>
      <c r="K56" s="2"/>
      <c r="L56" s="2"/>
      <c r="M56" s="2"/>
      <c r="N56" s="2"/>
    </row>
    <row r="57" customFormat="false" ht="15.75" hidden="false" customHeight="true" outlineLevel="0" collapsed="false">
      <c r="A57" s="2"/>
      <c r="B57" s="2"/>
      <c r="C57" s="2"/>
      <c r="D57" s="2"/>
      <c r="E57" s="2"/>
      <c r="F57" s="2"/>
      <c r="G57" s="2"/>
      <c r="H57" s="2"/>
      <c r="I57" s="2"/>
      <c r="J57" s="2"/>
      <c r="K57" s="2"/>
      <c r="L57" s="2"/>
      <c r="M57" s="2"/>
      <c r="N57" s="2"/>
    </row>
    <row r="58" customFormat="false" ht="15.75" hidden="false" customHeight="true" outlineLevel="0" collapsed="false">
      <c r="A58" s="2"/>
      <c r="B58" s="2"/>
      <c r="C58" s="2"/>
      <c r="D58" s="2"/>
      <c r="E58" s="2"/>
      <c r="F58" s="2"/>
      <c r="G58" s="2"/>
      <c r="H58" s="2"/>
      <c r="I58" s="38" t="s">
        <v>27</v>
      </c>
      <c r="J58" s="2"/>
      <c r="K58" s="39" t="str">
        <f aca="false">INDEX(Indicadores!A54:A95,MATCH(MAX(Indicadores!F54:F95),Indicadores!F54:F95,0))</f>
        <v>Constitución del equipo de Trabajo</v>
      </c>
      <c r="L58" s="39"/>
      <c r="M58" s="39"/>
      <c r="N58" s="39"/>
    </row>
    <row r="59" customFormat="false" ht="15.75" hidden="false" customHeight="true" outlineLevel="0" collapsed="false">
      <c r="A59" s="2"/>
      <c r="B59" s="2"/>
      <c r="C59" s="2"/>
      <c r="D59" s="2"/>
      <c r="E59" s="2"/>
      <c r="F59" s="2"/>
      <c r="G59" s="2"/>
      <c r="H59" s="2"/>
      <c r="I59" s="38" t="s">
        <v>28</v>
      </c>
      <c r="J59" s="2"/>
      <c r="K59" s="40" t="n">
        <f aca="false">MAX(Indicadores!F54:F95)</f>
        <v>0.142857142857143</v>
      </c>
      <c r="L59" s="2"/>
      <c r="M59" s="2"/>
      <c r="N59" s="2"/>
    </row>
    <row r="60" customFormat="false" ht="15.75" hidden="false" customHeight="true" outlineLevel="0" collapsed="false">
      <c r="A60" s="2"/>
      <c r="B60" s="2"/>
      <c r="C60" s="2"/>
      <c r="D60" s="2"/>
      <c r="E60" s="2"/>
      <c r="F60" s="2"/>
      <c r="G60" s="2"/>
      <c r="H60" s="2"/>
      <c r="I60" s="2"/>
      <c r="J60" s="2"/>
      <c r="K60" s="2"/>
      <c r="L60" s="2"/>
      <c r="M60" s="2"/>
      <c r="N60" s="2"/>
    </row>
    <row r="61" customFormat="false" ht="15.75" hidden="false" customHeight="true" outlineLevel="0" collapsed="false">
      <c r="A61" s="2"/>
      <c r="B61" s="2"/>
      <c r="C61" s="2"/>
      <c r="D61" s="2"/>
      <c r="E61" s="2"/>
      <c r="F61" s="2"/>
      <c r="G61" s="2"/>
      <c r="H61" s="2"/>
      <c r="I61" s="38" t="s">
        <v>29</v>
      </c>
      <c r="J61" s="2"/>
      <c r="K61" s="41" t="str">
        <f aca="false">INDEX(Indicadores!A54:A95,MATCH(MIN(Indicadores!F54:F95),Indicadores!F54:F95,0))</f>
        <v>Integraciones.</v>
      </c>
      <c r="L61" s="41"/>
      <c r="M61" s="41"/>
      <c r="N61" s="41"/>
    </row>
    <row r="62" customFormat="false" ht="15.75" hidden="false" customHeight="true" outlineLevel="0" collapsed="false">
      <c r="A62" s="2"/>
      <c r="B62" s="2"/>
      <c r="C62" s="2"/>
      <c r="D62" s="2"/>
      <c r="E62" s="2"/>
      <c r="F62" s="2"/>
      <c r="G62" s="2"/>
      <c r="H62" s="2"/>
      <c r="I62" s="38" t="s">
        <v>28</v>
      </c>
      <c r="J62" s="2"/>
      <c r="K62" s="42" t="n">
        <f aca="false">MIN(Indicadores!F54:F95)</f>
        <v>0</v>
      </c>
      <c r="L62" s="2"/>
      <c r="M62" s="2"/>
      <c r="N62" s="2"/>
    </row>
    <row r="63" customFormat="false" ht="15.75" hidden="false" customHeight="true" outlineLevel="0" collapsed="false">
      <c r="A63" s="2"/>
      <c r="B63" s="2"/>
      <c r="C63" s="2"/>
      <c r="D63" s="2"/>
      <c r="E63" s="2"/>
      <c r="F63" s="2"/>
      <c r="G63" s="2"/>
      <c r="H63" s="2"/>
      <c r="I63" s="2"/>
      <c r="J63" s="2"/>
      <c r="K63" s="2"/>
      <c r="L63" s="2"/>
      <c r="M63" s="2"/>
      <c r="N63" s="2"/>
    </row>
    <row r="64" customFormat="false" ht="15.75" hidden="false" customHeight="true" outlineLevel="0" collapsed="false">
      <c r="A64" s="2"/>
      <c r="B64" s="2"/>
      <c r="C64" s="2"/>
      <c r="D64" s="2"/>
      <c r="E64" s="2"/>
      <c r="F64" s="2"/>
      <c r="G64" s="2"/>
      <c r="H64" s="2"/>
      <c r="I64" s="2"/>
      <c r="J64" s="2"/>
      <c r="K64" s="2"/>
      <c r="L64" s="2"/>
      <c r="M64" s="2"/>
      <c r="N64" s="2"/>
    </row>
    <row r="65" customFormat="false" ht="15.75" hidden="false" customHeight="true" outlineLevel="0" collapsed="false">
      <c r="A65" s="2"/>
      <c r="B65" s="2"/>
      <c r="C65" s="2"/>
      <c r="D65" s="2"/>
      <c r="E65" s="2"/>
      <c r="F65" s="2"/>
      <c r="G65" s="2"/>
      <c r="H65" s="2"/>
      <c r="I65" s="2"/>
      <c r="J65" s="2"/>
      <c r="K65" s="2"/>
      <c r="L65" s="2"/>
      <c r="M65" s="2"/>
      <c r="N65" s="2"/>
    </row>
    <row r="66" customFormat="false" ht="15.75" hidden="false" customHeight="true" outlineLevel="0" collapsed="false">
      <c r="A66" s="2"/>
      <c r="B66" s="2"/>
      <c r="C66" s="2"/>
      <c r="D66" s="2"/>
      <c r="E66" s="2"/>
      <c r="F66" s="2"/>
      <c r="G66" s="2"/>
      <c r="H66" s="2"/>
      <c r="I66" s="2"/>
      <c r="J66" s="2"/>
      <c r="K66" s="2"/>
      <c r="L66" s="2"/>
      <c r="M66" s="2"/>
      <c r="N66" s="2"/>
    </row>
    <row r="67" customFormat="false" ht="15.75" hidden="false" customHeight="true" outlineLevel="0" collapsed="false">
      <c r="A67" s="2"/>
      <c r="B67" s="2"/>
      <c r="C67" s="2"/>
      <c r="D67" s="2"/>
      <c r="E67" s="2"/>
      <c r="F67" s="2"/>
      <c r="G67" s="2"/>
      <c r="H67" s="2"/>
      <c r="I67" s="2"/>
      <c r="J67" s="2"/>
      <c r="K67" s="2"/>
      <c r="L67" s="2"/>
      <c r="M67" s="2"/>
      <c r="N67" s="2"/>
    </row>
    <row r="68" customFormat="false" ht="15.75" hidden="false" customHeight="true" outlineLevel="0" collapsed="false">
      <c r="A68" s="2"/>
      <c r="B68" s="2"/>
      <c r="C68" s="2"/>
      <c r="D68" s="2"/>
      <c r="E68" s="2"/>
      <c r="F68" s="2"/>
      <c r="G68" s="2"/>
      <c r="H68" s="2"/>
      <c r="I68" s="2"/>
      <c r="J68" s="2"/>
      <c r="K68" s="2"/>
      <c r="L68" s="2"/>
      <c r="M68" s="2"/>
      <c r="N68" s="2"/>
    </row>
    <row r="69" customFormat="false" ht="15.75" hidden="false" customHeight="true" outlineLevel="0" collapsed="false">
      <c r="A69" s="2"/>
      <c r="B69" s="2"/>
      <c r="C69" s="2"/>
      <c r="D69" s="2"/>
      <c r="E69" s="2"/>
      <c r="F69" s="2"/>
      <c r="G69" s="2"/>
      <c r="H69" s="2"/>
      <c r="I69" s="2"/>
      <c r="J69" s="2"/>
      <c r="K69" s="2"/>
      <c r="L69" s="2"/>
      <c r="M69" s="2"/>
      <c r="N69" s="2"/>
    </row>
    <row r="70" customFormat="false" ht="15.75" hidden="false" customHeight="true" outlineLevel="0" collapsed="false">
      <c r="A70" s="2"/>
      <c r="B70" s="2"/>
      <c r="C70" s="2"/>
      <c r="D70" s="2"/>
      <c r="E70" s="2"/>
      <c r="F70" s="2"/>
      <c r="G70" s="2"/>
      <c r="H70" s="2"/>
      <c r="I70" s="2"/>
      <c r="J70" s="2"/>
      <c r="K70" s="2"/>
      <c r="L70" s="2"/>
      <c r="M70" s="2"/>
      <c r="N70" s="2"/>
    </row>
    <row r="71" customFormat="false" ht="15.75" hidden="false" customHeight="true" outlineLevel="0" collapsed="false">
      <c r="A71" s="2"/>
      <c r="B71" s="2"/>
      <c r="C71" s="2"/>
      <c r="D71" s="2"/>
      <c r="E71" s="2"/>
      <c r="F71" s="2"/>
      <c r="G71" s="2"/>
      <c r="H71" s="2"/>
      <c r="I71" s="2"/>
      <c r="J71" s="2"/>
      <c r="K71" s="2"/>
      <c r="L71" s="2"/>
      <c r="M71" s="2"/>
      <c r="N71" s="2"/>
    </row>
    <row r="72" customFormat="false" ht="15.75" hidden="false" customHeight="true" outlineLevel="0" collapsed="false">
      <c r="A72" s="2"/>
      <c r="B72" s="2"/>
      <c r="C72" s="2"/>
      <c r="D72" s="2"/>
      <c r="E72" s="2"/>
      <c r="F72" s="2"/>
      <c r="G72" s="2"/>
      <c r="H72" s="2"/>
      <c r="I72" s="2"/>
      <c r="J72" s="2"/>
      <c r="K72" s="2"/>
      <c r="L72" s="2"/>
      <c r="M72" s="2"/>
      <c r="N72" s="2"/>
    </row>
    <row r="73" customFormat="false" ht="15.75" hidden="false" customHeight="true" outlineLevel="0" collapsed="false">
      <c r="A73" s="2"/>
      <c r="B73" s="2"/>
      <c r="C73" s="2"/>
      <c r="D73" s="2"/>
      <c r="E73" s="2"/>
      <c r="F73" s="2"/>
      <c r="G73" s="2"/>
      <c r="H73" s="2"/>
      <c r="I73" s="2"/>
      <c r="J73" s="2"/>
      <c r="K73" s="2"/>
      <c r="L73" s="2"/>
      <c r="M73" s="2"/>
      <c r="N73" s="2"/>
    </row>
    <row r="74" customFormat="false" ht="15.75" hidden="false" customHeight="true" outlineLevel="0" collapsed="false">
      <c r="A74" s="2"/>
      <c r="B74" s="2"/>
      <c r="C74" s="2"/>
      <c r="D74" s="2"/>
      <c r="E74" s="2"/>
      <c r="F74" s="2"/>
      <c r="G74" s="2"/>
      <c r="H74" s="2"/>
      <c r="I74" s="2"/>
      <c r="J74" s="2"/>
      <c r="K74" s="2"/>
      <c r="L74" s="2"/>
      <c r="M74" s="2"/>
      <c r="N74" s="2"/>
    </row>
    <row r="75" customFormat="false" ht="9.75" hidden="false" customHeight="true" outlineLevel="0" collapsed="false">
      <c r="A75" s="2"/>
      <c r="B75" s="2"/>
      <c r="C75" s="2"/>
      <c r="D75" s="2"/>
      <c r="E75" s="2"/>
      <c r="F75" s="2"/>
      <c r="G75" s="2"/>
      <c r="H75" s="2"/>
      <c r="I75" s="2"/>
      <c r="J75" s="2"/>
      <c r="K75" s="2"/>
      <c r="L75" s="2"/>
      <c r="M75" s="2"/>
      <c r="N75" s="2"/>
    </row>
    <row r="76" customFormat="false" ht="15.75" hidden="false" customHeight="true" outlineLevel="0" collapsed="false">
      <c r="A76" s="2"/>
      <c r="B76" s="43" t="s">
        <v>30</v>
      </c>
      <c r="C76" s="43"/>
      <c r="D76" s="43"/>
      <c r="E76" s="43"/>
      <c r="F76" s="43"/>
      <c r="G76" s="43"/>
      <c r="H76" s="43"/>
      <c r="I76" s="43"/>
      <c r="J76" s="43"/>
      <c r="K76" s="43"/>
      <c r="L76" s="43"/>
      <c r="M76" s="43"/>
      <c r="N76" s="2"/>
    </row>
    <row r="77" customFormat="false" ht="15.75" hidden="false" customHeight="true" outlineLevel="0" collapsed="false">
      <c r="A77" s="2"/>
      <c r="B77" s="43"/>
      <c r="C77" s="43"/>
      <c r="D77" s="43"/>
      <c r="E77" s="43"/>
      <c r="F77" s="43"/>
      <c r="G77" s="43"/>
      <c r="H77" s="43"/>
      <c r="I77" s="43"/>
      <c r="J77" s="43"/>
      <c r="K77" s="43"/>
      <c r="L77" s="43"/>
      <c r="M77" s="43"/>
      <c r="N77" s="2"/>
    </row>
    <row r="78" customFormat="false" ht="15.75" hidden="false" customHeight="true" outlineLevel="0" collapsed="false">
      <c r="A78" s="2"/>
      <c r="B78" s="43"/>
      <c r="C78" s="43"/>
      <c r="D78" s="43"/>
      <c r="E78" s="43"/>
      <c r="F78" s="43"/>
      <c r="G78" s="43"/>
      <c r="H78" s="43"/>
      <c r="I78" s="43"/>
      <c r="J78" s="43"/>
      <c r="K78" s="43"/>
      <c r="L78" s="43"/>
      <c r="M78" s="43"/>
      <c r="N78" s="2"/>
    </row>
    <row r="79" customFormat="false" ht="15.75" hidden="false" customHeight="true" outlineLevel="0" collapsed="false">
      <c r="A79" s="2"/>
      <c r="B79" s="43"/>
      <c r="C79" s="43"/>
      <c r="D79" s="43"/>
      <c r="E79" s="43"/>
      <c r="F79" s="43"/>
      <c r="G79" s="43"/>
      <c r="H79" s="43"/>
      <c r="I79" s="43"/>
      <c r="J79" s="43"/>
      <c r="K79" s="43"/>
      <c r="L79" s="43"/>
      <c r="M79" s="43"/>
      <c r="N79" s="2"/>
    </row>
    <row r="80" customFormat="false" ht="15.75" hidden="false" customHeight="true" outlineLevel="0" collapsed="false">
      <c r="A80" s="2"/>
      <c r="B80" s="2"/>
      <c r="C80" s="2"/>
      <c r="D80" s="2"/>
      <c r="E80" s="2"/>
      <c r="F80" s="2"/>
      <c r="G80" s="2"/>
      <c r="H80" s="2"/>
      <c r="I80" s="2"/>
      <c r="J80" s="2"/>
      <c r="K80" s="2"/>
      <c r="L80" s="2"/>
      <c r="M80" s="2"/>
      <c r="N80" s="2"/>
    </row>
    <row r="81" customFormat="false" ht="15.75" hidden="false" customHeight="true" outlineLevel="0" collapsed="false">
      <c r="A81" s="2"/>
      <c r="B81" s="2"/>
      <c r="C81" s="2"/>
      <c r="D81" s="2"/>
      <c r="E81" s="2"/>
      <c r="F81" s="2"/>
      <c r="G81" s="2"/>
      <c r="H81" s="2"/>
      <c r="I81" s="2"/>
      <c r="J81" s="2"/>
      <c r="K81" s="2"/>
      <c r="L81" s="2"/>
      <c r="M81" s="2"/>
      <c r="N81" s="2"/>
    </row>
    <row r="82" customFormat="false" ht="15.75" hidden="false" customHeight="true" outlineLevel="0" collapsed="false">
      <c r="A82" s="2"/>
      <c r="B82" s="2"/>
      <c r="C82" s="2"/>
      <c r="D82" s="2"/>
      <c r="E82" s="2"/>
      <c r="F82" s="2"/>
      <c r="G82" s="2"/>
      <c r="H82" s="2"/>
      <c r="I82" s="2"/>
      <c r="J82" s="2"/>
      <c r="K82" s="2"/>
      <c r="L82" s="2"/>
      <c r="M82" s="2"/>
      <c r="N82" s="2"/>
    </row>
    <row r="83" customFormat="false" ht="15.75" hidden="false" customHeight="true" outlineLevel="0" collapsed="false">
      <c r="A83" s="2"/>
      <c r="B83" s="2"/>
      <c r="C83" s="2"/>
      <c r="D83" s="2"/>
      <c r="E83" s="2"/>
      <c r="F83" s="2"/>
      <c r="G83" s="2"/>
      <c r="H83" s="2"/>
      <c r="I83" s="2"/>
      <c r="J83" s="2"/>
      <c r="K83" s="2"/>
      <c r="L83" s="2"/>
      <c r="M83" s="2"/>
      <c r="N83" s="2"/>
    </row>
    <row r="84" customFormat="false" ht="15.75" hidden="false" customHeight="true" outlineLevel="0" collapsed="false">
      <c r="A84" s="2"/>
      <c r="B84" s="2"/>
      <c r="C84" s="2"/>
      <c r="D84" s="2"/>
      <c r="E84" s="2"/>
      <c r="F84" s="2"/>
      <c r="G84" s="2"/>
      <c r="H84" s="2"/>
      <c r="I84" s="2"/>
      <c r="J84" s="2"/>
      <c r="K84" s="2"/>
      <c r="L84" s="2"/>
      <c r="M84" s="2"/>
      <c r="N84" s="2"/>
    </row>
    <row r="85" customFormat="false" ht="15.75" hidden="false" customHeight="true" outlineLevel="0" collapsed="false">
      <c r="A85" s="2"/>
      <c r="B85" s="2"/>
      <c r="C85" s="2"/>
      <c r="D85" s="2"/>
      <c r="E85" s="2"/>
      <c r="F85" s="2"/>
      <c r="G85" s="2"/>
      <c r="H85" s="2"/>
      <c r="I85" s="2"/>
      <c r="J85" s="2"/>
      <c r="K85" s="2"/>
      <c r="L85" s="2"/>
      <c r="M85" s="2"/>
      <c r="N85" s="2"/>
    </row>
    <row r="86" customFormat="false" ht="15.75" hidden="false" customHeight="true" outlineLevel="0" collapsed="false">
      <c r="A86" s="2"/>
      <c r="B86" s="2"/>
      <c r="C86" s="2"/>
      <c r="D86" s="2"/>
      <c r="E86" s="2"/>
      <c r="F86" s="2"/>
      <c r="G86" s="2"/>
      <c r="H86" s="2"/>
      <c r="I86" s="2"/>
      <c r="J86" s="2"/>
      <c r="K86" s="2"/>
      <c r="L86" s="2"/>
      <c r="M86" s="2"/>
      <c r="N86" s="2"/>
    </row>
    <row r="87" customFormat="false" ht="15.75" hidden="false" customHeight="true" outlineLevel="0" collapsed="false">
      <c r="A87" s="2"/>
      <c r="B87" s="2"/>
      <c r="C87" s="2"/>
      <c r="D87" s="2"/>
      <c r="E87" s="2"/>
      <c r="F87" s="2"/>
      <c r="G87" s="2"/>
      <c r="H87" s="2"/>
      <c r="I87" s="2"/>
      <c r="J87" s="2"/>
      <c r="K87" s="2"/>
      <c r="L87" s="2"/>
      <c r="M87" s="2"/>
      <c r="N87" s="2"/>
    </row>
    <row r="88" customFormat="false" ht="15.75" hidden="false" customHeight="true" outlineLevel="0" collapsed="false">
      <c r="A88" s="2"/>
      <c r="B88" s="2"/>
      <c r="C88" s="2"/>
      <c r="D88" s="2"/>
      <c r="E88" s="2"/>
      <c r="F88" s="2"/>
      <c r="G88" s="2"/>
      <c r="H88" s="2"/>
      <c r="I88" s="2"/>
      <c r="J88" s="2"/>
      <c r="K88" s="2"/>
      <c r="L88" s="2"/>
      <c r="M88" s="2"/>
      <c r="N88" s="2"/>
    </row>
    <row r="89" customFormat="false" ht="15.75" hidden="false" customHeight="true" outlineLevel="0" collapsed="false">
      <c r="A89" s="2"/>
      <c r="B89" s="2"/>
      <c r="C89" s="2"/>
      <c r="D89" s="2"/>
      <c r="E89" s="2"/>
      <c r="F89" s="2"/>
      <c r="G89" s="2"/>
      <c r="H89" s="2"/>
      <c r="I89" s="2"/>
      <c r="J89" s="2"/>
      <c r="K89" s="2"/>
      <c r="L89" s="2"/>
      <c r="M89" s="2"/>
      <c r="N89" s="2"/>
    </row>
    <row r="90" customFormat="false" ht="15.75" hidden="false" customHeight="true" outlineLevel="0" collapsed="false">
      <c r="A90" s="2"/>
      <c r="B90" s="2"/>
      <c r="C90" s="2"/>
      <c r="D90" s="2"/>
      <c r="E90" s="2"/>
      <c r="F90" s="2"/>
      <c r="G90" s="2"/>
      <c r="H90" s="2"/>
      <c r="I90" s="2"/>
      <c r="J90" s="2"/>
      <c r="K90" s="2"/>
      <c r="L90" s="2"/>
      <c r="M90" s="2"/>
      <c r="N90" s="2"/>
    </row>
    <row r="91" customFormat="false" ht="15.75" hidden="false" customHeight="true" outlineLevel="0" collapsed="false">
      <c r="A91" s="2"/>
      <c r="B91" s="2"/>
      <c r="C91" s="2"/>
      <c r="D91" s="2"/>
      <c r="E91" s="2"/>
      <c r="F91" s="2"/>
      <c r="G91" s="2"/>
      <c r="H91" s="2"/>
      <c r="I91" s="2"/>
      <c r="J91" s="2"/>
      <c r="K91" s="2"/>
      <c r="L91" s="2"/>
      <c r="M91" s="2"/>
      <c r="N91" s="2"/>
    </row>
    <row r="92" customFormat="false" ht="15.75" hidden="false" customHeight="true" outlineLevel="0" collapsed="false">
      <c r="A92" s="2"/>
      <c r="B92" s="2"/>
      <c r="C92" s="2"/>
      <c r="D92" s="2"/>
      <c r="E92" s="2"/>
      <c r="F92" s="2"/>
      <c r="G92" s="2"/>
      <c r="H92" s="2"/>
      <c r="I92" s="2"/>
      <c r="J92" s="2"/>
      <c r="K92" s="2"/>
      <c r="L92" s="2"/>
      <c r="M92" s="2"/>
      <c r="N92" s="2"/>
    </row>
    <row r="93" customFormat="false" ht="15.75" hidden="false" customHeight="true" outlineLevel="0" collapsed="false">
      <c r="A93" s="2"/>
      <c r="B93" s="2"/>
      <c r="C93" s="2"/>
      <c r="D93" s="2"/>
      <c r="E93" s="2"/>
      <c r="F93" s="2"/>
      <c r="G93" s="2"/>
      <c r="H93" s="2"/>
      <c r="I93" s="2"/>
      <c r="J93" s="2"/>
      <c r="K93" s="2"/>
      <c r="L93" s="2"/>
      <c r="M93" s="2"/>
      <c r="N93" s="2"/>
    </row>
    <row r="94" customFormat="false" ht="15.75" hidden="false" customHeight="true" outlineLevel="0" collapsed="false">
      <c r="A94" s="2"/>
      <c r="B94" s="2"/>
      <c r="C94" s="2"/>
      <c r="D94" s="2"/>
      <c r="E94" s="2"/>
      <c r="F94" s="2"/>
      <c r="G94" s="2"/>
      <c r="H94" s="2"/>
      <c r="I94" s="2"/>
      <c r="J94" s="2"/>
      <c r="K94" s="2"/>
      <c r="L94" s="2"/>
      <c r="M94" s="2"/>
      <c r="N94" s="2"/>
    </row>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sheetData>
  <mergeCells count="27">
    <mergeCell ref="B3:H3"/>
    <mergeCell ref="I3:J3"/>
    <mergeCell ref="K3:L3"/>
    <mergeCell ref="M3:N3"/>
    <mergeCell ref="B4:H4"/>
    <mergeCell ref="I4:J4"/>
    <mergeCell ref="K4:L4"/>
    <mergeCell ref="M4:N4"/>
    <mergeCell ref="K5:N5"/>
    <mergeCell ref="B10:C10"/>
    <mergeCell ref="D10:E10"/>
    <mergeCell ref="F10:G10"/>
    <mergeCell ref="H10:I10"/>
    <mergeCell ref="J10:K10"/>
    <mergeCell ref="L10:M10"/>
    <mergeCell ref="B11:C12"/>
    <mergeCell ref="D11:E12"/>
    <mergeCell ref="F11:G12"/>
    <mergeCell ref="H11:I12"/>
    <mergeCell ref="J11:K12"/>
    <mergeCell ref="L11:M12"/>
    <mergeCell ref="D16:M16"/>
    <mergeCell ref="D17:M17"/>
    <mergeCell ref="D18:M18"/>
    <mergeCell ref="K58:N58"/>
    <mergeCell ref="K61:N61"/>
    <mergeCell ref="B76:M79"/>
  </mergeCells>
  <conditionalFormatting sqref="I4:J4">
    <cfRule type="cellIs" priority="2" operator="equal" aboveAverage="0" equalAverage="0" bottom="0" percent="0" rank="0" text="" dxfId="0">
      <formula>"NORMAL"</formula>
    </cfRule>
    <cfRule type="cellIs" priority="3" operator="equal" aboveAverage="0" equalAverage="0" bottom="0" percent="0" rank="0" text="" dxfId="1">
      <formula>"EN RIESGO"</formula>
    </cfRule>
    <cfRule type="cellIs" priority="4" operator="equal" aboveAverage="0" equalAverage="0" bottom="0" percent="0" rank="0" text="" dxfId="2">
      <formula>"CRÍTICO"</formula>
    </cfRule>
  </conditionalFormatting>
  <conditionalFormatting sqref="K4:L4">
    <cfRule type="cellIs" priority="5" operator="equal" aboveAverage="0" equalAverage="0" bottom="0" percent="0" rank="0" text="" dxfId="0">
      <formula>"✅ Verde"</formula>
    </cfRule>
    <cfRule type="cellIs" priority="6" operator="equal" aboveAverage="0" equalAverage="0" bottom="0" percent="0" rank="0" text="" dxfId="1">
      <formula>"⚠️ Amarillo"</formula>
    </cfRule>
    <cfRule type="cellIs" priority="7" operator="equal" aboveAverage="0" equalAverage="0" bottom="0" percent="0" rank="0" text="" dxfId="2">
      <formula>"🔴 Rojo"</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32C4C"/>
    <pageSetUpPr fitToPage="true"/>
  </sheetPr>
  <dimension ref="A1:N1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6" min="2" style="0" width="13"/>
    <col collapsed="false" customWidth="true" hidden="false" outlineLevel="0" max="7" min="7" style="0" width="22"/>
    <col collapsed="false" customWidth="true" hidden="false" outlineLevel="0" max="14" min="8" style="0" width="13"/>
  </cols>
  <sheetData>
    <row r="1" customFormat="false" ht="21.75" hidden="false" customHeight="true" outlineLevel="0" collapsed="false">
      <c r="A1" s="44" t="s">
        <v>31</v>
      </c>
      <c r="B1" s="44"/>
      <c r="C1" s="44"/>
      <c r="D1" s="1"/>
      <c r="E1" s="1"/>
      <c r="F1" s="1"/>
      <c r="G1" s="1"/>
      <c r="H1" s="1"/>
      <c r="I1" s="1"/>
      <c r="J1" s="1"/>
      <c r="K1" s="1"/>
    </row>
    <row r="2" customFormat="false" ht="27.75" hidden="false" customHeight="true" outlineLevel="0" collapsed="false">
      <c r="A2" s="45" t="s">
        <v>32</v>
      </c>
      <c r="B2" s="45" t="s">
        <v>33</v>
      </c>
    </row>
    <row r="3" customFormat="false" ht="15" hidden="false" customHeight="false" outlineLevel="0" collapsed="false">
      <c r="A3" s="46" t="s">
        <v>34</v>
      </c>
      <c r="B3" s="47" t="n">
        <f aca="false">COUNTA(Etapas!D2:D400)</f>
        <v>294</v>
      </c>
    </row>
    <row r="4" customFormat="false" ht="15" hidden="false" customHeight="false" outlineLevel="0" collapsed="false">
      <c r="A4" s="48" t="s">
        <v>35</v>
      </c>
      <c r="B4" s="49" t="n">
        <f aca="false">COUNTIF(Etapas!$Q$2:$Q$400,"Finalizado")+COUNTIF(Etapas!$Q$2:$Q$400,"Finalizado anticipado")</f>
        <v>16</v>
      </c>
    </row>
    <row r="5" customFormat="false" ht="15" hidden="false" customHeight="false" outlineLevel="0" collapsed="false">
      <c r="A5" s="46" t="s">
        <v>36</v>
      </c>
      <c r="B5" s="47" t="n">
        <f aca="false">COUNTIF(Etapas!$Q$2:$Q$400,"Finalizado con desfase")</f>
        <v>0</v>
      </c>
    </row>
    <row r="6" customFormat="false" ht="15" hidden="false" customHeight="false" outlineLevel="0" collapsed="false">
      <c r="A6" s="48" t="s">
        <v>37</v>
      </c>
      <c r="B6" s="49" t="n">
        <f aca="false">COUNTIF(Etapas!$Q$2:$Q$400,"En curso")+COUNTIF(Etapas!$Q$2:$Q$400,"Inicio anticipado")</f>
        <v>2</v>
      </c>
    </row>
    <row r="7" customFormat="false" ht="15" hidden="false" customHeight="false" outlineLevel="0" collapsed="false">
      <c r="A7" s="46" t="s">
        <v>38</v>
      </c>
      <c r="B7" s="47" t="n">
        <f aca="false">COUNTIF(Etapas!$Q$2:$Q$400,"Inicio retrasado")</f>
        <v>0</v>
      </c>
    </row>
    <row r="8" customFormat="false" ht="15" hidden="false" customHeight="false" outlineLevel="0" collapsed="false">
      <c r="A8" s="48" t="s">
        <v>39</v>
      </c>
      <c r="B8" s="49" t="n">
        <f aca="false">COUNTIF(Etapas!$Q$2:$Q$400,"Programado")</f>
        <v>276</v>
      </c>
    </row>
    <row r="9" customFormat="false" ht="15" hidden="false" customHeight="false" outlineLevel="0" collapsed="false">
      <c r="A9" s="46" t="s">
        <v>40</v>
      </c>
      <c r="B9" s="47" t="n">
        <f aca="false">COUNTIF(Etapas!$Q$2:$Q$400,"No iniciado")</f>
        <v>0</v>
      </c>
    </row>
    <row r="10" customFormat="false" ht="15" hidden="false" customHeight="false" outlineLevel="0" collapsed="false">
      <c r="A10" s="48" t="s">
        <v>41</v>
      </c>
      <c r="B10" s="49" t="n">
        <f aca="false">COUNTIF(Etapas!$Q$2:$Q$400,"Atrasado")</f>
        <v>0</v>
      </c>
    </row>
    <row r="11" customFormat="false" ht="15" hidden="false" customHeight="false" outlineLevel="0" collapsed="false">
      <c r="A11" s="46" t="s">
        <v>42</v>
      </c>
      <c r="B11" s="47" t="n">
        <f aca="false">COUNTIF(Etapas!$Q$2:$Q$400,"No planificado")</f>
        <v>0</v>
      </c>
    </row>
    <row r="12" customFormat="false" ht="15" hidden="false" customHeight="false" outlineLevel="0" collapsed="false">
      <c r="A12" s="48" t="s">
        <v>43</v>
      </c>
      <c r="B12" s="49" t="n">
        <f aca="false">COUNTIF(Etapas!$Q$2:$Q$400,"COMPLETAR")</f>
        <v>0</v>
      </c>
    </row>
    <row r="13" customFormat="false" ht="15" hidden="false" customHeight="false" outlineLevel="0" collapsed="false">
      <c r="A13" s="46" t="s">
        <v>44</v>
      </c>
      <c r="B13" s="50" t="n">
        <f aca="false">IF(B3=0,0,(B4+B5)/B3)</f>
        <v>0.054421768707483</v>
      </c>
    </row>
    <row r="14" customFormat="false" ht="15" hidden="false" customHeight="false" outlineLevel="0" collapsed="false">
      <c r="A14" s="48" t="s">
        <v>45</v>
      </c>
      <c r="B14" s="49" t="str">
        <f aca="false">IF(B10&gt;2,"CRÍTICO",IF(B10&gt;0,"EN RIESGO","NORMAL"))</f>
        <v>NORMAL</v>
      </c>
    </row>
    <row r="17" customFormat="false" ht="21.75" hidden="false" customHeight="true" outlineLevel="0" collapsed="false">
      <c r="A17" s="44" t="s">
        <v>46</v>
      </c>
      <c r="B17" s="44"/>
      <c r="C17" s="44"/>
      <c r="D17" s="44"/>
      <c r="E17" s="44"/>
      <c r="F17" s="44"/>
      <c r="G17" s="44"/>
      <c r="H17" s="44"/>
      <c r="I17" s="44"/>
      <c r="J17" s="44"/>
      <c r="K17" s="44"/>
    </row>
    <row r="19" customFormat="false" ht="27.75" hidden="false" customHeight="true" outlineLevel="0" collapsed="false">
      <c r="A19" s="45" t="s">
        <v>47</v>
      </c>
      <c r="B19" s="45" t="s">
        <v>48</v>
      </c>
      <c r="C19" s="45" t="s">
        <v>49</v>
      </c>
      <c r="D19" s="45" t="s">
        <v>50</v>
      </c>
      <c r="E19" s="45" t="s">
        <v>51</v>
      </c>
      <c r="F19" s="45" t="s">
        <v>52</v>
      </c>
      <c r="G19" s="45" t="s">
        <v>53</v>
      </c>
      <c r="H19" s="45" t="s">
        <v>37</v>
      </c>
      <c r="I19" s="45" t="s">
        <v>54</v>
      </c>
      <c r="J19" s="45" t="s">
        <v>55</v>
      </c>
      <c r="K19" s="45" t="s">
        <v>56</v>
      </c>
      <c r="L19" s="45" t="s">
        <v>57</v>
      </c>
      <c r="M19" s="45" t="s">
        <v>58</v>
      </c>
      <c r="N19" s="45" t="s">
        <v>59</v>
      </c>
    </row>
    <row r="20" customFormat="false" ht="15" hidden="false" customHeight="false" outlineLevel="0" collapsed="false">
      <c r="A20" s="51" t="s">
        <v>60</v>
      </c>
      <c r="B20" s="52" t="n">
        <f aca="false">COUNTIF(Etapas!$B$2:$B$400,$A20)</f>
        <v>42</v>
      </c>
      <c r="C20" s="52" t="n">
        <f aca="false">COUNTIFS(Etapas!$B$2:$B$400,$A20,Etapas!$Q$2:$Q$400,C$19)</f>
        <v>0</v>
      </c>
      <c r="D20" s="52" t="n">
        <f aca="false">COUNTIFS(Etapas!$B$2:$B$400,$A20,Etapas!$Q$2:$Q$400,D$19)</f>
        <v>0</v>
      </c>
      <c r="E20" s="52" t="n">
        <f aca="false">COUNTIFS(Etapas!$B$2:$B$400,$A20,Etapas!$Q$2:$Q$400,E$19)</f>
        <v>24</v>
      </c>
      <c r="F20" s="52" t="n">
        <f aca="false">COUNTIFS(Etapas!$B$2:$B$400,$A20,Etapas!$Q$2:$Q$400,F$19)</f>
        <v>0</v>
      </c>
      <c r="G20" s="52" t="n">
        <f aca="false">COUNTIFS(Etapas!$B$2:$B$400,$A20,Etapas!$Q$2:$Q$400,G$19)</f>
        <v>0</v>
      </c>
      <c r="H20" s="52" t="n">
        <f aca="false">COUNTIFS(Etapas!$B$2:$B$400,$A20,Etapas!$Q$2:$Q$400,H$19)</f>
        <v>2</v>
      </c>
      <c r="I20" s="52" t="n">
        <f aca="false">COUNTIFS(Etapas!$B$2:$B$400,$A20,Etapas!$Q$2:$Q$400,I$19)</f>
        <v>0</v>
      </c>
      <c r="J20" s="52" t="n">
        <f aca="false">COUNTIFS(Etapas!$B$2:$B$400,$A20,Etapas!$Q$2:$Q$400,J$19)</f>
        <v>0</v>
      </c>
      <c r="K20" s="52" t="n">
        <f aca="false">COUNTIFS(Etapas!$B$2:$B$400,$A20,Etapas!$Q$2:$Q$400,K$19)</f>
        <v>0</v>
      </c>
      <c r="L20" s="52" t="n">
        <f aca="false">COUNTIFS(Etapas!$B$2:$B$400,$A20,Etapas!$Q$2:$Q$400,L$19)</f>
        <v>16</v>
      </c>
      <c r="M20" s="52" t="n">
        <f aca="false">COUNTIFS(Etapas!$B$2:$B$400,$A20,Etapas!$Q$2:$Q$400,M$19)</f>
        <v>0</v>
      </c>
      <c r="N20" s="53" t="n">
        <f aca="false">IF(B20=0,0,(K20+L20+M20)/B20)</f>
        <v>0.380952380952381</v>
      </c>
    </row>
    <row r="21" customFormat="false" ht="15" hidden="false" customHeight="false" outlineLevel="0" collapsed="false">
      <c r="A21" s="54" t="s">
        <v>61</v>
      </c>
      <c r="B21" s="55" t="n">
        <f aca="false">COUNTIF(Etapas!$B$2:$B$400,$A21)</f>
        <v>42</v>
      </c>
      <c r="C21" s="55" t="n">
        <f aca="false">COUNTIFS(Etapas!$B$2:$B$400,$A21,Etapas!$Q$2:$Q$400,C$19)</f>
        <v>0</v>
      </c>
      <c r="D21" s="55" t="n">
        <f aca="false">COUNTIFS(Etapas!$B$2:$B$400,$A21,Etapas!$Q$2:$Q$400,D$19)</f>
        <v>0</v>
      </c>
      <c r="E21" s="55" t="n">
        <f aca="false">COUNTIFS(Etapas!$B$2:$B$400,$A21,Etapas!$Q$2:$Q$400,E$19)</f>
        <v>42</v>
      </c>
      <c r="F21" s="55" t="n">
        <f aca="false">COUNTIFS(Etapas!$B$2:$B$400,$A21,Etapas!$Q$2:$Q$400,F$19)</f>
        <v>0</v>
      </c>
      <c r="G21" s="55" t="n">
        <f aca="false">COUNTIFS(Etapas!$B$2:$B$400,$A21,Etapas!$Q$2:$Q$400,G$19)</f>
        <v>0</v>
      </c>
      <c r="H21" s="55" t="n">
        <f aca="false">COUNTIFS(Etapas!$B$2:$B$400,$A21,Etapas!$Q$2:$Q$400,H$19)</f>
        <v>0</v>
      </c>
      <c r="I21" s="55" t="n">
        <f aca="false">COUNTIFS(Etapas!$B$2:$B$400,$A21,Etapas!$Q$2:$Q$400,I$19)</f>
        <v>0</v>
      </c>
      <c r="J21" s="55" t="n">
        <f aca="false">COUNTIFS(Etapas!$B$2:$B$400,$A21,Etapas!$Q$2:$Q$400,J$19)</f>
        <v>0</v>
      </c>
      <c r="K21" s="55" t="n">
        <f aca="false">COUNTIFS(Etapas!$B$2:$B$400,$A21,Etapas!$Q$2:$Q$400,K$19)</f>
        <v>0</v>
      </c>
      <c r="L21" s="55" t="n">
        <f aca="false">COUNTIFS(Etapas!$B$2:$B$400,$A21,Etapas!$Q$2:$Q$400,L$19)</f>
        <v>0</v>
      </c>
      <c r="M21" s="55" t="n">
        <f aca="false">COUNTIFS(Etapas!$B$2:$B$400,$A21,Etapas!$Q$2:$Q$400,M$19)</f>
        <v>0</v>
      </c>
      <c r="N21" s="50" t="n">
        <f aca="false">IF(B21=0,0,(K21+L21+M21)/B21)</f>
        <v>0</v>
      </c>
    </row>
    <row r="22" customFormat="false" ht="15" hidden="false" customHeight="false" outlineLevel="0" collapsed="false">
      <c r="A22" s="51" t="s">
        <v>62</v>
      </c>
      <c r="B22" s="52" t="n">
        <f aca="false">COUNTIF(Etapas!$B$2:$B$400,$A22)</f>
        <v>42</v>
      </c>
      <c r="C22" s="52" t="n">
        <f aca="false">COUNTIFS(Etapas!$B$2:$B$400,$A22,Etapas!$Q$2:$Q$400,C$19)</f>
        <v>0</v>
      </c>
      <c r="D22" s="52" t="n">
        <f aca="false">COUNTIFS(Etapas!$B$2:$B$400,$A22,Etapas!$Q$2:$Q$400,D$19)</f>
        <v>0</v>
      </c>
      <c r="E22" s="52" t="n">
        <f aca="false">COUNTIFS(Etapas!$B$2:$B$400,$A22,Etapas!$Q$2:$Q$400,E$19)</f>
        <v>42</v>
      </c>
      <c r="F22" s="52" t="n">
        <f aca="false">COUNTIFS(Etapas!$B$2:$B$400,$A22,Etapas!$Q$2:$Q$400,F$19)</f>
        <v>0</v>
      </c>
      <c r="G22" s="52" t="n">
        <f aca="false">COUNTIFS(Etapas!$B$2:$B$400,$A22,Etapas!$Q$2:$Q$400,G$19)</f>
        <v>0</v>
      </c>
      <c r="H22" s="52" t="n">
        <f aca="false">COUNTIFS(Etapas!$B$2:$B$400,$A22,Etapas!$Q$2:$Q$400,H$19)</f>
        <v>0</v>
      </c>
      <c r="I22" s="52" t="n">
        <f aca="false">COUNTIFS(Etapas!$B$2:$B$400,$A22,Etapas!$Q$2:$Q$400,I$19)</f>
        <v>0</v>
      </c>
      <c r="J22" s="52" t="n">
        <f aca="false">COUNTIFS(Etapas!$B$2:$B$400,$A22,Etapas!$Q$2:$Q$400,J$19)</f>
        <v>0</v>
      </c>
      <c r="K22" s="52" t="n">
        <f aca="false">COUNTIFS(Etapas!$B$2:$B$400,$A22,Etapas!$Q$2:$Q$400,K$19)</f>
        <v>0</v>
      </c>
      <c r="L22" s="52" t="n">
        <f aca="false">COUNTIFS(Etapas!$B$2:$B$400,$A22,Etapas!$Q$2:$Q$400,L$19)</f>
        <v>0</v>
      </c>
      <c r="M22" s="52" t="n">
        <f aca="false">COUNTIFS(Etapas!$B$2:$B$400,$A22,Etapas!$Q$2:$Q$400,M$19)</f>
        <v>0</v>
      </c>
      <c r="N22" s="53" t="n">
        <f aca="false">IF(B22=0,0,(K22+L22+M22)/B22)</f>
        <v>0</v>
      </c>
    </row>
    <row r="23" customFormat="false" ht="15" hidden="false" customHeight="false" outlineLevel="0" collapsed="false">
      <c r="A23" s="54" t="s">
        <v>63</v>
      </c>
      <c r="B23" s="55" t="n">
        <f aca="false">COUNTIF(Etapas!$B$2:$B$400,$A23)</f>
        <v>42</v>
      </c>
      <c r="C23" s="55" t="n">
        <f aca="false">COUNTIFS(Etapas!$B$2:$B$400,$A23,Etapas!$Q$2:$Q$400,C$19)</f>
        <v>0</v>
      </c>
      <c r="D23" s="55" t="n">
        <f aca="false">COUNTIFS(Etapas!$B$2:$B$400,$A23,Etapas!$Q$2:$Q$400,D$19)</f>
        <v>0</v>
      </c>
      <c r="E23" s="55" t="n">
        <f aca="false">COUNTIFS(Etapas!$B$2:$B$400,$A23,Etapas!$Q$2:$Q$400,E$19)</f>
        <v>42</v>
      </c>
      <c r="F23" s="55" t="n">
        <f aca="false">COUNTIFS(Etapas!$B$2:$B$400,$A23,Etapas!$Q$2:$Q$400,F$19)</f>
        <v>0</v>
      </c>
      <c r="G23" s="55" t="n">
        <f aca="false">COUNTIFS(Etapas!$B$2:$B$400,$A23,Etapas!$Q$2:$Q$400,G$19)</f>
        <v>0</v>
      </c>
      <c r="H23" s="55" t="n">
        <f aca="false">COUNTIFS(Etapas!$B$2:$B$400,$A23,Etapas!$Q$2:$Q$400,H$19)</f>
        <v>0</v>
      </c>
      <c r="I23" s="55" t="n">
        <f aca="false">COUNTIFS(Etapas!$B$2:$B$400,$A23,Etapas!$Q$2:$Q$400,I$19)</f>
        <v>0</v>
      </c>
      <c r="J23" s="55" t="n">
        <f aca="false">COUNTIFS(Etapas!$B$2:$B$400,$A23,Etapas!$Q$2:$Q$400,J$19)</f>
        <v>0</v>
      </c>
      <c r="K23" s="55" t="n">
        <f aca="false">COUNTIFS(Etapas!$B$2:$B$400,$A23,Etapas!$Q$2:$Q$400,K$19)</f>
        <v>0</v>
      </c>
      <c r="L23" s="55" t="n">
        <f aca="false">COUNTIFS(Etapas!$B$2:$B$400,$A23,Etapas!$Q$2:$Q$400,L$19)</f>
        <v>0</v>
      </c>
      <c r="M23" s="55" t="n">
        <f aca="false">COUNTIFS(Etapas!$B$2:$B$400,$A23,Etapas!$Q$2:$Q$400,M$19)</f>
        <v>0</v>
      </c>
      <c r="N23" s="50" t="n">
        <f aca="false">IF(B23=0,0,(K23+L23+M23)/B23)</f>
        <v>0</v>
      </c>
    </row>
    <row r="24" customFormat="false" ht="15" hidden="false" customHeight="false" outlineLevel="0" collapsed="false">
      <c r="A24" s="51" t="s">
        <v>64</v>
      </c>
      <c r="B24" s="52" t="n">
        <f aca="false">COUNTIF(Etapas!$B$2:$B$400,$A24)</f>
        <v>42</v>
      </c>
      <c r="C24" s="52" t="n">
        <f aca="false">COUNTIFS(Etapas!$B$2:$B$400,$A24,Etapas!$Q$2:$Q$400,C$19)</f>
        <v>0</v>
      </c>
      <c r="D24" s="52" t="n">
        <f aca="false">COUNTIFS(Etapas!$B$2:$B$400,$A24,Etapas!$Q$2:$Q$400,D$19)</f>
        <v>0</v>
      </c>
      <c r="E24" s="52" t="n">
        <f aca="false">COUNTIFS(Etapas!$B$2:$B$400,$A24,Etapas!$Q$2:$Q$400,E$19)</f>
        <v>42</v>
      </c>
      <c r="F24" s="52" t="n">
        <f aca="false">COUNTIFS(Etapas!$B$2:$B$400,$A24,Etapas!$Q$2:$Q$400,F$19)</f>
        <v>0</v>
      </c>
      <c r="G24" s="52" t="n">
        <f aca="false">COUNTIFS(Etapas!$B$2:$B$400,$A24,Etapas!$Q$2:$Q$400,G$19)</f>
        <v>0</v>
      </c>
      <c r="H24" s="52" t="n">
        <f aca="false">COUNTIFS(Etapas!$B$2:$B$400,$A24,Etapas!$Q$2:$Q$400,H$19)</f>
        <v>0</v>
      </c>
      <c r="I24" s="52" t="n">
        <f aca="false">COUNTIFS(Etapas!$B$2:$B$400,$A24,Etapas!$Q$2:$Q$400,I$19)</f>
        <v>0</v>
      </c>
      <c r="J24" s="52" t="n">
        <f aca="false">COUNTIFS(Etapas!$B$2:$B$400,$A24,Etapas!$Q$2:$Q$400,J$19)</f>
        <v>0</v>
      </c>
      <c r="K24" s="52" t="n">
        <f aca="false">COUNTIFS(Etapas!$B$2:$B$400,$A24,Etapas!$Q$2:$Q$400,K$19)</f>
        <v>0</v>
      </c>
      <c r="L24" s="52" t="n">
        <f aca="false">COUNTIFS(Etapas!$B$2:$B$400,$A24,Etapas!$Q$2:$Q$400,L$19)</f>
        <v>0</v>
      </c>
      <c r="M24" s="52" t="n">
        <f aca="false">COUNTIFS(Etapas!$B$2:$B$400,$A24,Etapas!$Q$2:$Q$400,M$19)</f>
        <v>0</v>
      </c>
      <c r="N24" s="53" t="n">
        <f aca="false">IF(B24=0,0,(K24+L24+M24)/B24)</f>
        <v>0</v>
      </c>
    </row>
    <row r="25" customFormat="false" ht="15" hidden="false" customHeight="false" outlineLevel="0" collapsed="false">
      <c r="A25" s="54" t="s">
        <v>65</v>
      </c>
      <c r="B25" s="55" t="n">
        <f aca="false">COUNTIF(Etapas!$B$2:$B$400,$A25)</f>
        <v>42</v>
      </c>
      <c r="C25" s="55" t="n">
        <f aca="false">COUNTIFS(Etapas!$B$2:$B$400,$A25,Etapas!$Q$2:$Q$400,C$19)</f>
        <v>0</v>
      </c>
      <c r="D25" s="55" t="n">
        <f aca="false">COUNTIFS(Etapas!$B$2:$B$400,$A25,Etapas!$Q$2:$Q$400,D$19)</f>
        <v>0</v>
      </c>
      <c r="E25" s="55" t="n">
        <f aca="false">COUNTIFS(Etapas!$B$2:$B$400,$A25,Etapas!$Q$2:$Q$400,E$19)</f>
        <v>42</v>
      </c>
      <c r="F25" s="55" t="n">
        <f aca="false">COUNTIFS(Etapas!$B$2:$B$400,$A25,Etapas!$Q$2:$Q$400,F$19)</f>
        <v>0</v>
      </c>
      <c r="G25" s="55" t="n">
        <f aca="false">COUNTIFS(Etapas!$B$2:$B$400,$A25,Etapas!$Q$2:$Q$400,G$19)</f>
        <v>0</v>
      </c>
      <c r="H25" s="55" t="n">
        <f aca="false">COUNTIFS(Etapas!$B$2:$B$400,$A25,Etapas!$Q$2:$Q$400,H$19)</f>
        <v>0</v>
      </c>
      <c r="I25" s="55" t="n">
        <f aca="false">COUNTIFS(Etapas!$B$2:$B$400,$A25,Etapas!$Q$2:$Q$400,I$19)</f>
        <v>0</v>
      </c>
      <c r="J25" s="55" t="n">
        <f aca="false">COUNTIFS(Etapas!$B$2:$B$400,$A25,Etapas!$Q$2:$Q$400,J$19)</f>
        <v>0</v>
      </c>
      <c r="K25" s="55" t="n">
        <f aca="false">COUNTIFS(Etapas!$B$2:$B$400,$A25,Etapas!$Q$2:$Q$400,K$19)</f>
        <v>0</v>
      </c>
      <c r="L25" s="55" t="n">
        <f aca="false">COUNTIFS(Etapas!$B$2:$B$400,$A25,Etapas!$Q$2:$Q$400,L$19)</f>
        <v>0</v>
      </c>
      <c r="M25" s="55" t="n">
        <f aca="false">COUNTIFS(Etapas!$B$2:$B$400,$A25,Etapas!$Q$2:$Q$400,M$19)</f>
        <v>0</v>
      </c>
      <c r="N25" s="50" t="n">
        <f aca="false">IF(B25=0,0,(K25+L25+M25)/B25)</f>
        <v>0</v>
      </c>
    </row>
    <row r="26" customFormat="false" ht="15" hidden="false" customHeight="false" outlineLevel="0" collapsed="false">
      <c r="A26" s="51" t="s">
        <v>66</v>
      </c>
      <c r="B26" s="52" t="n">
        <f aca="false">COUNTIF(Etapas!$B$2:$B$400,$A26)</f>
        <v>42</v>
      </c>
      <c r="C26" s="52" t="n">
        <f aca="false">COUNTIFS(Etapas!$B$2:$B$400,$A26,Etapas!$Q$2:$Q$400,C$19)</f>
        <v>0</v>
      </c>
      <c r="D26" s="52" t="n">
        <f aca="false">COUNTIFS(Etapas!$B$2:$B$400,$A26,Etapas!$Q$2:$Q$400,D$19)</f>
        <v>0</v>
      </c>
      <c r="E26" s="52" t="n">
        <f aca="false">COUNTIFS(Etapas!$B$2:$B$400,$A26,Etapas!$Q$2:$Q$400,E$19)</f>
        <v>42</v>
      </c>
      <c r="F26" s="52" t="n">
        <f aca="false">COUNTIFS(Etapas!$B$2:$B$400,$A26,Etapas!$Q$2:$Q$400,F$19)</f>
        <v>0</v>
      </c>
      <c r="G26" s="52" t="n">
        <f aca="false">COUNTIFS(Etapas!$B$2:$B$400,$A26,Etapas!$Q$2:$Q$400,G$19)</f>
        <v>0</v>
      </c>
      <c r="H26" s="52" t="n">
        <f aca="false">COUNTIFS(Etapas!$B$2:$B$400,$A26,Etapas!$Q$2:$Q$400,H$19)</f>
        <v>0</v>
      </c>
      <c r="I26" s="52" t="n">
        <f aca="false">COUNTIFS(Etapas!$B$2:$B$400,$A26,Etapas!$Q$2:$Q$400,I$19)</f>
        <v>0</v>
      </c>
      <c r="J26" s="52" t="n">
        <f aca="false">COUNTIFS(Etapas!$B$2:$B$400,$A26,Etapas!$Q$2:$Q$400,J$19)</f>
        <v>0</v>
      </c>
      <c r="K26" s="52" t="n">
        <f aca="false">COUNTIFS(Etapas!$B$2:$B$400,$A26,Etapas!$Q$2:$Q$400,K$19)</f>
        <v>0</v>
      </c>
      <c r="L26" s="52" t="n">
        <f aca="false">COUNTIFS(Etapas!$B$2:$B$400,$A26,Etapas!$Q$2:$Q$400,L$19)</f>
        <v>0</v>
      </c>
      <c r="M26" s="52" t="n">
        <f aca="false">COUNTIFS(Etapas!$B$2:$B$400,$A26,Etapas!$Q$2:$Q$400,M$19)</f>
        <v>0</v>
      </c>
      <c r="N26" s="53" t="n">
        <f aca="false">IF(B26=0,0,(K26+L26+M26)/B26)</f>
        <v>0</v>
      </c>
    </row>
    <row r="29" customFormat="false" ht="21.75" hidden="false" customHeight="true" outlineLevel="0" collapsed="false">
      <c r="A29" s="44" t="s">
        <v>67</v>
      </c>
      <c r="B29" s="44"/>
      <c r="C29" s="44"/>
      <c r="D29" s="44"/>
      <c r="E29" s="44"/>
      <c r="F29" s="44"/>
      <c r="G29" s="44"/>
      <c r="H29" s="44"/>
      <c r="I29" s="44"/>
      <c r="J29" s="44"/>
      <c r="K29" s="44"/>
    </row>
    <row r="31" customFormat="false" ht="27.75" hidden="false" customHeight="true" outlineLevel="0" collapsed="false">
      <c r="A31" s="45" t="s">
        <v>68</v>
      </c>
      <c r="B31" s="45" t="s">
        <v>48</v>
      </c>
      <c r="C31" s="45" t="s">
        <v>49</v>
      </c>
      <c r="D31" s="45" t="s">
        <v>50</v>
      </c>
      <c r="E31" s="45" t="s">
        <v>51</v>
      </c>
      <c r="F31" s="45" t="s">
        <v>52</v>
      </c>
      <c r="G31" s="45" t="s">
        <v>53</v>
      </c>
      <c r="H31" s="45" t="s">
        <v>37</v>
      </c>
      <c r="I31" s="45" t="s">
        <v>54</v>
      </c>
      <c r="J31" s="45" t="s">
        <v>55</v>
      </c>
      <c r="K31" s="45" t="s">
        <v>56</v>
      </c>
      <c r="L31" s="45" t="s">
        <v>57</v>
      </c>
      <c r="M31" s="45" t="s">
        <v>58</v>
      </c>
      <c r="N31" s="45" t="s">
        <v>69</v>
      </c>
    </row>
    <row r="32" customFormat="false" ht="15" hidden="false" customHeight="false" outlineLevel="0" collapsed="false">
      <c r="A32" s="51" t="s">
        <v>70</v>
      </c>
      <c r="B32" s="52" t="n">
        <f aca="false">COUNTIF(Etapas!$K$2:$K$400,$A32)</f>
        <v>161</v>
      </c>
      <c r="C32" s="52" t="n">
        <f aca="false">COUNTIFS(Etapas!$K$2:$K$400,$A32,Etapas!$Q$2:$Q$400,C$31)</f>
        <v>0</v>
      </c>
      <c r="D32" s="52" t="n">
        <f aca="false">COUNTIFS(Etapas!$K$2:$K$400,$A32,Etapas!$Q$2:$Q$400,D$31)</f>
        <v>0</v>
      </c>
      <c r="E32" s="52" t="n">
        <f aca="false">COUNTIFS(Etapas!$K$2:$K$400,$A32,Etapas!$Q$2:$Q$400,E$31)</f>
        <v>149</v>
      </c>
      <c r="F32" s="52" t="n">
        <f aca="false">COUNTIFS(Etapas!$K$2:$K$400,$A32,Etapas!$Q$2:$Q$400,F$31)</f>
        <v>0</v>
      </c>
      <c r="G32" s="52" t="n">
        <f aca="false">COUNTIFS(Etapas!$K$2:$K$400,$A32,Etapas!$Q$2:$Q$400,G$31)</f>
        <v>0</v>
      </c>
      <c r="H32" s="52" t="n">
        <f aca="false">COUNTIFS(Etapas!$K$2:$K$400,$A32,Etapas!$Q$2:$Q$400,H$31)</f>
        <v>0</v>
      </c>
      <c r="I32" s="52" t="n">
        <f aca="false">COUNTIFS(Etapas!$K$2:$K$400,$A32,Etapas!$Q$2:$Q$400,I$31)</f>
        <v>0</v>
      </c>
      <c r="J32" s="52" t="n">
        <f aca="false">COUNTIFS(Etapas!$K$2:$K$400,$A32,Etapas!$Q$2:$Q$400,J$31)</f>
        <v>0</v>
      </c>
      <c r="K32" s="52" t="n">
        <f aca="false">COUNTIFS(Etapas!$K$2:$K$400,$A32,Etapas!$Q$2:$Q$400,K$31)</f>
        <v>0</v>
      </c>
      <c r="L32" s="52" t="n">
        <f aca="false">COUNTIFS(Etapas!$K$2:$K$400,$A32,Etapas!$Q$2:$Q$400,L$31)</f>
        <v>12</v>
      </c>
      <c r="M32" s="52" t="n">
        <f aca="false">COUNTIFS(Etapas!$K$2:$K$400,$A32,Etapas!$Q$2:$Q$400,M$31)</f>
        <v>0</v>
      </c>
      <c r="N32" s="53" t="n">
        <f aca="false">IF($B$32+$B$33=0,0,B32/($B$32+$B$33))</f>
        <v>0.547619047619048</v>
      </c>
    </row>
    <row r="33" customFormat="false" ht="15" hidden="false" customHeight="false" outlineLevel="0" collapsed="false">
      <c r="A33" s="54" t="s">
        <v>71</v>
      </c>
      <c r="B33" s="55" t="n">
        <f aca="false">COUNTIF(Etapas!$K$2:$K$400,$A33)</f>
        <v>133</v>
      </c>
      <c r="C33" s="55" t="n">
        <f aca="false">COUNTIFS(Etapas!$K$2:$K$400,$A33,Etapas!$Q$2:$Q$400,C$31)</f>
        <v>0</v>
      </c>
      <c r="D33" s="55" t="n">
        <f aca="false">COUNTIFS(Etapas!$K$2:$K$400,$A33,Etapas!$Q$2:$Q$400,D$31)</f>
        <v>0</v>
      </c>
      <c r="E33" s="55" t="n">
        <f aca="false">COUNTIFS(Etapas!$K$2:$K$400,$A33,Etapas!$Q$2:$Q$400,E$31)</f>
        <v>127</v>
      </c>
      <c r="F33" s="55" t="n">
        <f aca="false">COUNTIFS(Etapas!$K$2:$K$400,$A33,Etapas!$Q$2:$Q$400,F$31)</f>
        <v>0</v>
      </c>
      <c r="G33" s="55" t="n">
        <f aca="false">COUNTIFS(Etapas!$K$2:$K$400,$A33,Etapas!$Q$2:$Q$400,G$31)</f>
        <v>0</v>
      </c>
      <c r="H33" s="55" t="n">
        <f aca="false">COUNTIFS(Etapas!$K$2:$K$400,$A33,Etapas!$Q$2:$Q$400,H$31)</f>
        <v>2</v>
      </c>
      <c r="I33" s="55" t="n">
        <f aca="false">COUNTIFS(Etapas!$K$2:$K$400,$A33,Etapas!$Q$2:$Q$400,I$31)</f>
        <v>0</v>
      </c>
      <c r="J33" s="55" t="n">
        <f aca="false">COUNTIFS(Etapas!$K$2:$K$400,$A33,Etapas!$Q$2:$Q$400,J$31)</f>
        <v>0</v>
      </c>
      <c r="K33" s="55" t="n">
        <f aca="false">COUNTIFS(Etapas!$K$2:$K$400,$A33,Etapas!$Q$2:$Q$400,K$31)</f>
        <v>0</v>
      </c>
      <c r="L33" s="55" t="n">
        <f aca="false">COUNTIFS(Etapas!$K$2:$K$400,$A33,Etapas!$Q$2:$Q$400,L$31)</f>
        <v>4</v>
      </c>
      <c r="M33" s="55" t="n">
        <f aca="false">COUNTIFS(Etapas!$K$2:$K$400,$A33,Etapas!$Q$2:$Q$400,M$31)</f>
        <v>0</v>
      </c>
      <c r="N33" s="50" t="n">
        <f aca="false">IF($B$32+$B$33=0,0,B33/($B$32+$B$33))</f>
        <v>0.452380952380952</v>
      </c>
    </row>
    <row r="36" customFormat="false" ht="21.75" hidden="false" customHeight="true" outlineLevel="0" collapsed="false">
      <c r="A36" s="44" t="s">
        <v>72</v>
      </c>
      <c r="B36" s="44"/>
      <c r="C36" s="44"/>
      <c r="D36" s="44"/>
      <c r="E36" s="44"/>
      <c r="F36" s="44"/>
      <c r="G36" s="44"/>
      <c r="H36" s="44"/>
      <c r="I36" s="44"/>
      <c r="J36" s="44"/>
      <c r="K36" s="44"/>
    </row>
    <row r="38" customFormat="false" ht="27.75" hidden="false" customHeight="true" outlineLevel="0" collapsed="false">
      <c r="A38" s="45" t="s">
        <v>73</v>
      </c>
      <c r="B38" s="45" t="s">
        <v>48</v>
      </c>
      <c r="C38" s="45" t="s">
        <v>49</v>
      </c>
      <c r="D38" s="45" t="s">
        <v>50</v>
      </c>
      <c r="E38" s="45" t="s">
        <v>51</v>
      </c>
      <c r="F38" s="45" t="s">
        <v>52</v>
      </c>
      <c r="G38" s="45" t="s">
        <v>53</v>
      </c>
      <c r="H38" s="45" t="s">
        <v>37</v>
      </c>
      <c r="I38" s="45" t="s">
        <v>54</v>
      </c>
      <c r="J38" s="45" t="s">
        <v>55</v>
      </c>
      <c r="K38" s="45" t="s">
        <v>56</v>
      </c>
      <c r="L38" s="45" t="s">
        <v>57</v>
      </c>
      <c r="M38" s="45" t="s">
        <v>58</v>
      </c>
      <c r="N38" s="45" t="s">
        <v>59</v>
      </c>
    </row>
    <row r="39" customFormat="false" ht="15" hidden="false" customHeight="false" outlineLevel="0" collapsed="false">
      <c r="A39" s="54" t="s">
        <v>74</v>
      </c>
      <c r="B39" s="55" t="n">
        <f aca="false">COUNTIF(Etapas!$D$2:$D$400,$A39)</f>
        <v>28</v>
      </c>
      <c r="C39" s="55" t="n">
        <f aca="false">COUNTIFS(Etapas!$D$2:$D$400,$A39,Etapas!$Q$2:$Q$400,C$38)</f>
        <v>0</v>
      </c>
      <c r="D39" s="55" t="n">
        <f aca="false">COUNTIFS(Etapas!$D$2:$D$400,$A39,Etapas!$Q$2:$Q$400,D$38)</f>
        <v>0</v>
      </c>
      <c r="E39" s="55" t="n">
        <f aca="false">COUNTIFS(Etapas!$D$2:$D$400,$A39,Etapas!$Q$2:$Q$400,E$38)</f>
        <v>24</v>
      </c>
      <c r="F39" s="55" t="n">
        <f aca="false">COUNTIFS(Etapas!$D$2:$D$400,$A39,Etapas!$Q$2:$Q$400,F$38)</f>
        <v>0</v>
      </c>
      <c r="G39" s="55" t="n">
        <f aca="false">COUNTIFS(Etapas!$D$2:$D$400,$A39,Etapas!$Q$2:$Q$400,G$38)</f>
        <v>0</v>
      </c>
      <c r="H39" s="55" t="n">
        <f aca="false">COUNTIFS(Etapas!$D$2:$D$400,$A39,Etapas!$Q$2:$Q$400,H$38)</f>
        <v>0</v>
      </c>
      <c r="I39" s="55" t="n">
        <f aca="false">COUNTIFS(Etapas!$D$2:$D$400,$A39,Etapas!$Q$2:$Q$400,I$38)</f>
        <v>0</v>
      </c>
      <c r="J39" s="55" t="n">
        <f aca="false">COUNTIFS(Etapas!$D$2:$D$400,$A39,Etapas!$Q$2:$Q$400,J$38)</f>
        <v>0</v>
      </c>
      <c r="K39" s="55" t="n">
        <f aca="false">COUNTIFS(Etapas!$D$2:$D$400,$A39,Etapas!$Q$2:$Q$400,K$38)</f>
        <v>0</v>
      </c>
      <c r="L39" s="55" t="n">
        <f aca="false">COUNTIFS(Etapas!$D$2:$D$400,$A39,Etapas!$Q$2:$Q$400,L$38)</f>
        <v>4</v>
      </c>
      <c r="M39" s="55" t="n">
        <f aca="false">COUNTIFS(Etapas!$D$2:$D$400,$A39,Etapas!$Q$2:$Q$400,M$38)</f>
        <v>0</v>
      </c>
      <c r="N39" s="50" t="n">
        <f aca="false">IF(B39=0,0,(K39+L39+M39)/B39)</f>
        <v>0.142857142857143</v>
      </c>
    </row>
    <row r="40" customFormat="false" ht="15" hidden="false" customHeight="false" outlineLevel="0" collapsed="false">
      <c r="A40" s="51" t="s">
        <v>75</v>
      </c>
      <c r="B40" s="52" t="n">
        <f aca="false">COUNTIF(Etapas!$D$2:$D$400,$A40)</f>
        <v>35</v>
      </c>
      <c r="C40" s="52" t="n">
        <f aca="false">COUNTIFS(Etapas!$D$2:$D$400,$A40,Etapas!$Q$2:$Q$400,C$38)</f>
        <v>0</v>
      </c>
      <c r="D40" s="52" t="n">
        <f aca="false">COUNTIFS(Etapas!$D$2:$D$400,$A40,Etapas!$Q$2:$Q$400,D$38)</f>
        <v>0</v>
      </c>
      <c r="E40" s="52" t="n">
        <f aca="false">COUNTIFS(Etapas!$D$2:$D$400,$A40,Etapas!$Q$2:$Q$400,E$38)</f>
        <v>30</v>
      </c>
      <c r="F40" s="52" t="n">
        <f aca="false">COUNTIFS(Etapas!$D$2:$D$400,$A40,Etapas!$Q$2:$Q$400,F$38)</f>
        <v>0</v>
      </c>
      <c r="G40" s="52" t="n">
        <f aca="false">COUNTIFS(Etapas!$D$2:$D$400,$A40,Etapas!$Q$2:$Q$400,G$38)</f>
        <v>0</v>
      </c>
      <c r="H40" s="52" t="n">
        <f aca="false">COUNTIFS(Etapas!$D$2:$D$400,$A40,Etapas!$Q$2:$Q$400,H$38)</f>
        <v>0</v>
      </c>
      <c r="I40" s="52" t="n">
        <f aca="false">COUNTIFS(Etapas!$D$2:$D$400,$A40,Etapas!$Q$2:$Q$400,I$38)</f>
        <v>0</v>
      </c>
      <c r="J40" s="52" t="n">
        <f aca="false">COUNTIFS(Etapas!$D$2:$D$400,$A40,Etapas!$Q$2:$Q$400,J$38)</f>
        <v>0</v>
      </c>
      <c r="K40" s="52" t="n">
        <f aca="false">COUNTIFS(Etapas!$D$2:$D$400,$A40,Etapas!$Q$2:$Q$400,K$38)</f>
        <v>0</v>
      </c>
      <c r="L40" s="52" t="n">
        <f aca="false">COUNTIFS(Etapas!$D$2:$D$400,$A40,Etapas!$Q$2:$Q$400,L$38)</f>
        <v>5</v>
      </c>
      <c r="M40" s="52" t="n">
        <f aca="false">COUNTIFS(Etapas!$D$2:$D$400,$A40,Etapas!$Q$2:$Q$400,M$38)</f>
        <v>0</v>
      </c>
      <c r="N40" s="53" t="n">
        <f aca="false">IF(B40=0,0,(K40+L40+M40)/B40)</f>
        <v>0.142857142857143</v>
      </c>
    </row>
    <row r="41" customFormat="false" ht="15" hidden="false" customHeight="false" outlineLevel="0" collapsed="false">
      <c r="A41" s="54" t="s">
        <v>76</v>
      </c>
      <c r="B41" s="55" t="n">
        <f aca="false">COUNTIF(Etapas!$D$2:$D$400,$A41)</f>
        <v>28</v>
      </c>
      <c r="C41" s="55" t="n">
        <f aca="false">COUNTIFS(Etapas!$D$2:$D$400,$A41,Etapas!$Q$2:$Q$400,C$38)</f>
        <v>0</v>
      </c>
      <c r="D41" s="55" t="n">
        <f aca="false">COUNTIFS(Etapas!$D$2:$D$400,$A41,Etapas!$Q$2:$Q$400,D$38)</f>
        <v>0</v>
      </c>
      <c r="E41" s="55" t="n">
        <f aca="false">COUNTIFS(Etapas!$D$2:$D$400,$A41,Etapas!$Q$2:$Q$400,E$38)</f>
        <v>24</v>
      </c>
      <c r="F41" s="55" t="n">
        <f aca="false">COUNTIFS(Etapas!$D$2:$D$400,$A41,Etapas!$Q$2:$Q$400,F$38)</f>
        <v>0</v>
      </c>
      <c r="G41" s="55" t="n">
        <f aca="false">COUNTIFS(Etapas!$D$2:$D$400,$A41,Etapas!$Q$2:$Q$400,G$38)</f>
        <v>0</v>
      </c>
      <c r="H41" s="55" t="n">
        <f aca="false">COUNTIFS(Etapas!$D$2:$D$400,$A41,Etapas!$Q$2:$Q$400,H$38)</f>
        <v>0</v>
      </c>
      <c r="I41" s="55" t="n">
        <f aca="false">COUNTIFS(Etapas!$D$2:$D$400,$A41,Etapas!$Q$2:$Q$400,I$38)</f>
        <v>0</v>
      </c>
      <c r="J41" s="55" t="n">
        <f aca="false">COUNTIFS(Etapas!$D$2:$D$400,$A41,Etapas!$Q$2:$Q$400,J$38)</f>
        <v>0</v>
      </c>
      <c r="K41" s="55" t="n">
        <f aca="false">COUNTIFS(Etapas!$D$2:$D$400,$A41,Etapas!$Q$2:$Q$400,K$38)</f>
        <v>0</v>
      </c>
      <c r="L41" s="55" t="n">
        <f aca="false">COUNTIFS(Etapas!$D$2:$D$400,$A41,Etapas!$Q$2:$Q$400,L$38)</f>
        <v>4</v>
      </c>
      <c r="M41" s="55" t="n">
        <f aca="false">COUNTIFS(Etapas!$D$2:$D$400,$A41,Etapas!$Q$2:$Q$400,M$38)</f>
        <v>0</v>
      </c>
      <c r="N41" s="50" t="n">
        <f aca="false">IF(B41=0,0,(K41+L41+M41)/B41)</f>
        <v>0.142857142857143</v>
      </c>
    </row>
    <row r="42" customFormat="false" ht="15" hidden="false" customHeight="false" outlineLevel="0" collapsed="false">
      <c r="A42" s="51" t="s">
        <v>77</v>
      </c>
      <c r="B42" s="52" t="n">
        <f aca="false">COUNTIF(Etapas!$D$2:$D$400,$A42)</f>
        <v>7</v>
      </c>
      <c r="C42" s="52" t="n">
        <f aca="false">COUNTIFS(Etapas!$D$2:$D$400,$A42,Etapas!$Q$2:$Q$400,C$38)</f>
        <v>0</v>
      </c>
      <c r="D42" s="52" t="n">
        <f aca="false">COUNTIFS(Etapas!$D$2:$D$400,$A42,Etapas!$Q$2:$Q$400,D$38)</f>
        <v>0</v>
      </c>
      <c r="E42" s="52" t="n">
        <f aca="false">COUNTIFS(Etapas!$D$2:$D$400,$A42,Etapas!$Q$2:$Q$400,E$38)</f>
        <v>6</v>
      </c>
      <c r="F42" s="52" t="n">
        <f aca="false">COUNTIFS(Etapas!$D$2:$D$400,$A42,Etapas!$Q$2:$Q$400,F$38)</f>
        <v>0</v>
      </c>
      <c r="G42" s="52" t="n">
        <f aca="false">COUNTIFS(Etapas!$D$2:$D$400,$A42,Etapas!$Q$2:$Q$400,G$38)</f>
        <v>0</v>
      </c>
      <c r="H42" s="52" t="n">
        <f aca="false">COUNTIFS(Etapas!$D$2:$D$400,$A42,Etapas!$Q$2:$Q$400,H$38)</f>
        <v>0</v>
      </c>
      <c r="I42" s="52" t="n">
        <f aca="false">COUNTIFS(Etapas!$D$2:$D$400,$A42,Etapas!$Q$2:$Q$400,I$38)</f>
        <v>0</v>
      </c>
      <c r="J42" s="52" t="n">
        <f aca="false">COUNTIFS(Etapas!$D$2:$D$400,$A42,Etapas!$Q$2:$Q$400,J$38)</f>
        <v>0</v>
      </c>
      <c r="K42" s="52" t="n">
        <f aca="false">COUNTIFS(Etapas!$D$2:$D$400,$A42,Etapas!$Q$2:$Q$400,K$38)</f>
        <v>0</v>
      </c>
      <c r="L42" s="52" t="n">
        <f aca="false">COUNTIFS(Etapas!$D$2:$D$400,$A42,Etapas!$Q$2:$Q$400,L$38)</f>
        <v>1</v>
      </c>
      <c r="M42" s="52" t="n">
        <f aca="false">COUNTIFS(Etapas!$D$2:$D$400,$A42,Etapas!$Q$2:$Q$400,M$38)</f>
        <v>0</v>
      </c>
      <c r="N42" s="53" t="n">
        <f aca="false">IF(B42=0,0,(K42+L42+M42)/B42)</f>
        <v>0.142857142857143</v>
      </c>
    </row>
    <row r="43" customFormat="false" ht="15" hidden="false" customHeight="false" outlineLevel="0" collapsed="false">
      <c r="A43" s="54" t="s">
        <v>78</v>
      </c>
      <c r="B43" s="55" t="n">
        <f aca="false">COUNTIF(Etapas!$D$2:$D$400,$A43)</f>
        <v>28</v>
      </c>
      <c r="C43" s="55" t="n">
        <f aca="false">COUNTIFS(Etapas!$D$2:$D$400,$A43,Etapas!$Q$2:$Q$400,C$38)</f>
        <v>0</v>
      </c>
      <c r="D43" s="55" t="n">
        <f aca="false">COUNTIFS(Etapas!$D$2:$D$400,$A43,Etapas!$Q$2:$Q$400,D$38)</f>
        <v>0</v>
      </c>
      <c r="E43" s="55" t="n">
        <f aca="false">COUNTIFS(Etapas!$D$2:$D$400,$A43,Etapas!$Q$2:$Q$400,E$38)</f>
        <v>24</v>
      </c>
      <c r="F43" s="55" t="n">
        <f aca="false">COUNTIFS(Etapas!$D$2:$D$400,$A43,Etapas!$Q$2:$Q$400,F$38)</f>
        <v>0</v>
      </c>
      <c r="G43" s="55" t="n">
        <f aca="false">COUNTIFS(Etapas!$D$2:$D$400,$A43,Etapas!$Q$2:$Q$400,G$38)</f>
        <v>0</v>
      </c>
      <c r="H43" s="55" t="n">
        <f aca="false">COUNTIFS(Etapas!$D$2:$D$400,$A43,Etapas!$Q$2:$Q$400,H$38)</f>
        <v>2</v>
      </c>
      <c r="I43" s="55" t="n">
        <f aca="false">COUNTIFS(Etapas!$D$2:$D$400,$A43,Etapas!$Q$2:$Q$400,I$38)</f>
        <v>0</v>
      </c>
      <c r="J43" s="55" t="n">
        <f aca="false">COUNTIFS(Etapas!$D$2:$D$400,$A43,Etapas!$Q$2:$Q$400,J$38)</f>
        <v>0</v>
      </c>
      <c r="K43" s="55" t="n">
        <f aca="false">COUNTIFS(Etapas!$D$2:$D$400,$A43,Etapas!$Q$2:$Q$400,K$38)</f>
        <v>0</v>
      </c>
      <c r="L43" s="55" t="n">
        <f aca="false">COUNTIFS(Etapas!$D$2:$D$400,$A43,Etapas!$Q$2:$Q$400,L$38)</f>
        <v>2</v>
      </c>
      <c r="M43" s="55" t="n">
        <f aca="false">COUNTIFS(Etapas!$D$2:$D$400,$A43,Etapas!$Q$2:$Q$400,M$38)</f>
        <v>0</v>
      </c>
      <c r="N43" s="50" t="n">
        <f aca="false">IF(B43=0,0,(K43+L43+M43)/B43)</f>
        <v>0.0714285714285714</v>
      </c>
    </row>
    <row r="44" customFormat="false" ht="15" hidden="false" customHeight="false" outlineLevel="0" collapsed="false">
      <c r="A44" s="51" t="s">
        <v>79</v>
      </c>
      <c r="B44" s="52" t="n">
        <f aca="false">COUNTIF(Etapas!$D$2:$D$400,$A44)</f>
        <v>42</v>
      </c>
      <c r="C44" s="52" t="n">
        <f aca="false">COUNTIFS(Etapas!$D$2:$D$400,$A44,Etapas!$Q$2:$Q$400,C$38)</f>
        <v>0</v>
      </c>
      <c r="D44" s="52" t="n">
        <f aca="false">COUNTIFS(Etapas!$D$2:$D$400,$A44,Etapas!$Q$2:$Q$400,D$38)</f>
        <v>0</v>
      </c>
      <c r="E44" s="52" t="n">
        <f aca="false">COUNTIFS(Etapas!$D$2:$D$400,$A44,Etapas!$Q$2:$Q$400,E$38)</f>
        <v>42</v>
      </c>
      <c r="F44" s="52" t="n">
        <f aca="false">COUNTIFS(Etapas!$D$2:$D$400,$A44,Etapas!$Q$2:$Q$400,F$38)</f>
        <v>0</v>
      </c>
      <c r="G44" s="52" t="n">
        <f aca="false">COUNTIFS(Etapas!$D$2:$D$400,$A44,Etapas!$Q$2:$Q$400,G$38)</f>
        <v>0</v>
      </c>
      <c r="H44" s="52" t="n">
        <f aca="false">COUNTIFS(Etapas!$D$2:$D$400,$A44,Etapas!$Q$2:$Q$400,H$38)</f>
        <v>0</v>
      </c>
      <c r="I44" s="52" t="n">
        <f aca="false">COUNTIFS(Etapas!$D$2:$D$400,$A44,Etapas!$Q$2:$Q$400,I$38)</f>
        <v>0</v>
      </c>
      <c r="J44" s="52" t="n">
        <f aca="false">COUNTIFS(Etapas!$D$2:$D$400,$A44,Etapas!$Q$2:$Q$400,J$38)</f>
        <v>0</v>
      </c>
      <c r="K44" s="52" t="n">
        <f aca="false">COUNTIFS(Etapas!$D$2:$D$400,$A44,Etapas!$Q$2:$Q$400,K$38)</f>
        <v>0</v>
      </c>
      <c r="L44" s="52" t="n">
        <f aca="false">COUNTIFS(Etapas!$D$2:$D$400,$A44,Etapas!$Q$2:$Q$400,L$38)</f>
        <v>0</v>
      </c>
      <c r="M44" s="52" t="n">
        <f aca="false">COUNTIFS(Etapas!$D$2:$D$400,$A44,Etapas!$Q$2:$Q$400,M$38)</f>
        <v>0</v>
      </c>
      <c r="N44" s="53" t="n">
        <f aca="false">IF(B44=0,0,(K44+L44+M44)/B44)</f>
        <v>0</v>
      </c>
    </row>
    <row r="45" customFormat="false" ht="15" hidden="false" customHeight="false" outlineLevel="0" collapsed="false">
      <c r="A45" s="54" t="s">
        <v>80</v>
      </c>
      <c r="B45" s="55" t="n">
        <f aca="false">COUNTIF(Etapas!$D$2:$D$400,$A45)</f>
        <v>35</v>
      </c>
      <c r="C45" s="55" t="n">
        <f aca="false">COUNTIFS(Etapas!$D$2:$D$400,$A45,Etapas!$Q$2:$Q$400,C$38)</f>
        <v>0</v>
      </c>
      <c r="D45" s="55" t="n">
        <f aca="false">COUNTIFS(Etapas!$D$2:$D$400,$A45,Etapas!$Q$2:$Q$400,D$38)</f>
        <v>0</v>
      </c>
      <c r="E45" s="55" t="n">
        <f aca="false">COUNTIFS(Etapas!$D$2:$D$400,$A45,Etapas!$Q$2:$Q$400,E$38)</f>
        <v>35</v>
      </c>
      <c r="F45" s="55" t="n">
        <f aca="false">COUNTIFS(Etapas!$D$2:$D$400,$A45,Etapas!$Q$2:$Q$400,F$38)</f>
        <v>0</v>
      </c>
      <c r="G45" s="55" t="n">
        <f aca="false">COUNTIFS(Etapas!$D$2:$D$400,$A45,Etapas!$Q$2:$Q$400,G$38)</f>
        <v>0</v>
      </c>
      <c r="H45" s="55" t="n">
        <f aca="false">COUNTIFS(Etapas!$D$2:$D$400,$A45,Etapas!$Q$2:$Q$400,H$38)</f>
        <v>0</v>
      </c>
      <c r="I45" s="55" t="n">
        <f aca="false">COUNTIFS(Etapas!$D$2:$D$400,$A45,Etapas!$Q$2:$Q$400,I$38)</f>
        <v>0</v>
      </c>
      <c r="J45" s="55" t="n">
        <f aca="false">COUNTIFS(Etapas!$D$2:$D$400,$A45,Etapas!$Q$2:$Q$400,J$38)</f>
        <v>0</v>
      </c>
      <c r="K45" s="55" t="n">
        <f aca="false">COUNTIFS(Etapas!$D$2:$D$400,$A45,Etapas!$Q$2:$Q$400,K$38)</f>
        <v>0</v>
      </c>
      <c r="L45" s="55" t="n">
        <f aca="false">COUNTIFS(Etapas!$D$2:$D$400,$A45,Etapas!$Q$2:$Q$400,L$38)</f>
        <v>0</v>
      </c>
      <c r="M45" s="55" t="n">
        <f aca="false">COUNTIFS(Etapas!$D$2:$D$400,$A45,Etapas!$Q$2:$Q$400,M$38)</f>
        <v>0</v>
      </c>
      <c r="N45" s="50" t="n">
        <f aca="false">IF(B45=0,0,(K45+L45+M45)/B45)</f>
        <v>0</v>
      </c>
    </row>
    <row r="46" customFormat="false" ht="15" hidden="false" customHeight="false" outlineLevel="0" collapsed="false">
      <c r="A46" s="51" t="s">
        <v>81</v>
      </c>
      <c r="B46" s="52" t="n">
        <f aca="false">COUNTIF(Etapas!$D$2:$D$400,$A46)</f>
        <v>42</v>
      </c>
      <c r="C46" s="52" t="n">
        <f aca="false">COUNTIFS(Etapas!$D$2:$D$400,$A46,Etapas!$Q$2:$Q$400,C$38)</f>
        <v>0</v>
      </c>
      <c r="D46" s="52" t="n">
        <f aca="false">COUNTIFS(Etapas!$D$2:$D$400,$A46,Etapas!$Q$2:$Q$400,D$38)</f>
        <v>0</v>
      </c>
      <c r="E46" s="52" t="n">
        <f aca="false">COUNTIFS(Etapas!$D$2:$D$400,$A46,Etapas!$Q$2:$Q$400,E$38)</f>
        <v>42</v>
      </c>
      <c r="F46" s="52" t="n">
        <f aca="false">COUNTIFS(Etapas!$D$2:$D$400,$A46,Etapas!$Q$2:$Q$400,F$38)</f>
        <v>0</v>
      </c>
      <c r="G46" s="52" t="n">
        <f aca="false">COUNTIFS(Etapas!$D$2:$D$400,$A46,Etapas!$Q$2:$Q$400,G$38)</f>
        <v>0</v>
      </c>
      <c r="H46" s="52" t="n">
        <f aca="false">COUNTIFS(Etapas!$D$2:$D$400,$A46,Etapas!$Q$2:$Q$400,H$38)</f>
        <v>0</v>
      </c>
      <c r="I46" s="52" t="n">
        <f aca="false">COUNTIFS(Etapas!$D$2:$D$400,$A46,Etapas!$Q$2:$Q$400,I$38)</f>
        <v>0</v>
      </c>
      <c r="J46" s="52" t="n">
        <f aca="false">COUNTIFS(Etapas!$D$2:$D$400,$A46,Etapas!$Q$2:$Q$400,J$38)</f>
        <v>0</v>
      </c>
      <c r="K46" s="52" t="n">
        <f aca="false">COUNTIFS(Etapas!$D$2:$D$400,$A46,Etapas!$Q$2:$Q$400,K$38)</f>
        <v>0</v>
      </c>
      <c r="L46" s="52" t="n">
        <f aca="false">COUNTIFS(Etapas!$D$2:$D$400,$A46,Etapas!$Q$2:$Q$400,L$38)</f>
        <v>0</v>
      </c>
      <c r="M46" s="52" t="n">
        <f aca="false">COUNTIFS(Etapas!$D$2:$D$400,$A46,Etapas!$Q$2:$Q$400,M$38)</f>
        <v>0</v>
      </c>
      <c r="N46" s="53" t="n">
        <f aca="false">IF(B46=0,0,(K46+L46+M46)/B46)</f>
        <v>0</v>
      </c>
    </row>
    <row r="47" customFormat="false" ht="15" hidden="false" customHeight="false" outlineLevel="0" collapsed="false">
      <c r="A47" s="54" t="s">
        <v>82</v>
      </c>
      <c r="B47" s="55" t="n">
        <f aca="false">COUNTIF(Etapas!$D$2:$D$400,$A47)</f>
        <v>21</v>
      </c>
      <c r="C47" s="55" t="n">
        <f aca="false">COUNTIFS(Etapas!$D$2:$D$400,$A47,Etapas!$Q$2:$Q$400,C$38)</f>
        <v>0</v>
      </c>
      <c r="D47" s="55" t="n">
        <f aca="false">COUNTIFS(Etapas!$D$2:$D$400,$A47,Etapas!$Q$2:$Q$400,D$38)</f>
        <v>0</v>
      </c>
      <c r="E47" s="55" t="n">
        <f aca="false">COUNTIFS(Etapas!$D$2:$D$400,$A47,Etapas!$Q$2:$Q$400,E$38)</f>
        <v>21</v>
      </c>
      <c r="F47" s="55" t="n">
        <f aca="false">COUNTIFS(Etapas!$D$2:$D$400,$A47,Etapas!$Q$2:$Q$400,F$38)</f>
        <v>0</v>
      </c>
      <c r="G47" s="55" t="n">
        <f aca="false">COUNTIFS(Etapas!$D$2:$D$400,$A47,Etapas!$Q$2:$Q$400,G$38)</f>
        <v>0</v>
      </c>
      <c r="H47" s="55" t="n">
        <f aca="false">COUNTIFS(Etapas!$D$2:$D$400,$A47,Etapas!$Q$2:$Q$400,H$38)</f>
        <v>0</v>
      </c>
      <c r="I47" s="55" t="n">
        <f aca="false">COUNTIFS(Etapas!$D$2:$D$400,$A47,Etapas!$Q$2:$Q$400,I$38)</f>
        <v>0</v>
      </c>
      <c r="J47" s="55" t="n">
        <f aca="false">COUNTIFS(Etapas!$D$2:$D$400,$A47,Etapas!$Q$2:$Q$400,J$38)</f>
        <v>0</v>
      </c>
      <c r="K47" s="55" t="n">
        <f aca="false">COUNTIFS(Etapas!$D$2:$D$400,$A47,Etapas!$Q$2:$Q$400,K$38)</f>
        <v>0</v>
      </c>
      <c r="L47" s="55" t="n">
        <f aca="false">COUNTIFS(Etapas!$D$2:$D$400,$A47,Etapas!$Q$2:$Q$400,L$38)</f>
        <v>0</v>
      </c>
      <c r="M47" s="55" t="n">
        <f aca="false">COUNTIFS(Etapas!$D$2:$D$400,$A47,Etapas!$Q$2:$Q$400,M$38)</f>
        <v>0</v>
      </c>
      <c r="N47" s="50" t="n">
        <f aca="false">IF(B47=0,0,(K47+L47+M47)/B47)</f>
        <v>0</v>
      </c>
    </row>
    <row r="48" customFormat="false" ht="15" hidden="false" customHeight="false" outlineLevel="0" collapsed="false">
      <c r="A48" s="51" t="s">
        <v>83</v>
      </c>
      <c r="B48" s="52" t="n">
        <f aca="false">COUNTIF(Etapas!$D$2:$D$400,$A48)</f>
        <v>28</v>
      </c>
      <c r="C48" s="52" t="n">
        <f aca="false">COUNTIFS(Etapas!$D$2:$D$400,$A48,Etapas!$Q$2:$Q$400,C$38)</f>
        <v>0</v>
      </c>
      <c r="D48" s="52" t="n">
        <f aca="false">COUNTIFS(Etapas!$D$2:$D$400,$A48,Etapas!$Q$2:$Q$400,D$38)</f>
        <v>0</v>
      </c>
      <c r="E48" s="52" t="n">
        <f aca="false">COUNTIFS(Etapas!$D$2:$D$400,$A48,Etapas!$Q$2:$Q$400,E$38)</f>
        <v>28</v>
      </c>
      <c r="F48" s="52" t="n">
        <f aca="false">COUNTIFS(Etapas!$D$2:$D$400,$A48,Etapas!$Q$2:$Q$400,F$38)</f>
        <v>0</v>
      </c>
      <c r="G48" s="52" t="n">
        <f aca="false">COUNTIFS(Etapas!$D$2:$D$400,$A48,Etapas!$Q$2:$Q$400,G$38)</f>
        <v>0</v>
      </c>
      <c r="H48" s="52" t="n">
        <f aca="false">COUNTIFS(Etapas!$D$2:$D$400,$A48,Etapas!$Q$2:$Q$400,H$38)</f>
        <v>0</v>
      </c>
      <c r="I48" s="52" t="n">
        <f aca="false">COUNTIFS(Etapas!$D$2:$D$400,$A48,Etapas!$Q$2:$Q$400,I$38)</f>
        <v>0</v>
      </c>
      <c r="J48" s="52" t="n">
        <f aca="false">COUNTIFS(Etapas!$D$2:$D$400,$A48,Etapas!$Q$2:$Q$400,J$38)</f>
        <v>0</v>
      </c>
      <c r="K48" s="52" t="n">
        <f aca="false">COUNTIFS(Etapas!$D$2:$D$400,$A48,Etapas!$Q$2:$Q$400,K$38)</f>
        <v>0</v>
      </c>
      <c r="L48" s="52" t="n">
        <f aca="false">COUNTIFS(Etapas!$D$2:$D$400,$A48,Etapas!$Q$2:$Q$400,L$38)</f>
        <v>0</v>
      </c>
      <c r="M48" s="52" t="n">
        <f aca="false">COUNTIFS(Etapas!$D$2:$D$400,$A48,Etapas!$Q$2:$Q$400,M$38)</f>
        <v>0</v>
      </c>
      <c r="N48" s="53" t="n">
        <f aca="false">IF(B48=0,0,(K48+L48+M48)/B48)</f>
        <v>0</v>
      </c>
    </row>
    <row r="51" customFormat="false" ht="21.75" hidden="false" customHeight="true" outlineLevel="0" collapsed="false">
      <c r="A51" s="44" t="s">
        <v>84</v>
      </c>
      <c r="B51" s="44"/>
      <c r="C51" s="44"/>
      <c r="D51" s="44"/>
      <c r="E51" s="44"/>
      <c r="F51" s="44"/>
      <c r="G51" s="44"/>
      <c r="H51" s="1"/>
      <c r="I51" s="1"/>
      <c r="J51" s="1"/>
      <c r="K51" s="1"/>
    </row>
    <row r="53" customFormat="false" ht="27.75" hidden="false" customHeight="true" outlineLevel="0" collapsed="false">
      <c r="A53" s="45" t="s">
        <v>85</v>
      </c>
      <c r="B53" s="45" t="s">
        <v>48</v>
      </c>
      <c r="C53" s="45" t="s">
        <v>56</v>
      </c>
      <c r="D53" s="45" t="s">
        <v>57</v>
      </c>
      <c r="E53" s="45" t="s">
        <v>58</v>
      </c>
      <c r="F53" s="45" t="s">
        <v>59</v>
      </c>
      <c r="G53" s="45" t="s">
        <v>86</v>
      </c>
    </row>
    <row r="54" customFormat="false" ht="15" hidden="false" customHeight="false" outlineLevel="0" collapsed="false">
      <c r="A54" s="56" t="s">
        <v>87</v>
      </c>
      <c r="B54" s="57" t="n">
        <f aca="false">COUNTIF(Etapas!$G$2:$G$400,$A54)</f>
        <v>7</v>
      </c>
      <c r="C54" s="57" t="n">
        <f aca="false">COUNTIFS(Etapas!$G$2:$G$400,$A54,Etapas!$Q$2:$Q$400,$C$53)</f>
        <v>0</v>
      </c>
      <c r="D54" s="57" t="n">
        <f aca="false">COUNTIFS(Etapas!$G$2:$G$400,$A54,Etapas!$Q$2:$Q$400,$D$53)</f>
        <v>1</v>
      </c>
      <c r="E54" s="57" t="n">
        <f aca="false">COUNTIFS(Etapas!$G$2:$G$400,$A54,Etapas!$Q$2:$Q$400,$E$53)</f>
        <v>0</v>
      </c>
      <c r="F54" s="58" t="n">
        <f aca="false">IF(B54=0,0,(C54+D54+E54)/B54)</f>
        <v>0.142857142857143</v>
      </c>
      <c r="G54" s="59" t="str">
        <f aca="false">REPT("█",ROUND(F54*18,0))&amp;REPT("░",18-ROUND(F54*18,0))</f>
        <v>███░░░░░░░░░░░░░░░</v>
      </c>
    </row>
    <row r="55" customFormat="false" ht="15" hidden="false" customHeight="false" outlineLevel="0" collapsed="false">
      <c r="A55" s="60" t="s">
        <v>88</v>
      </c>
      <c r="B55" s="61" t="n">
        <f aca="false">COUNTIF(Etapas!$G$2:$G$400,$A55)</f>
        <v>7</v>
      </c>
      <c r="C55" s="61" t="n">
        <f aca="false">COUNTIFS(Etapas!$G$2:$G$400,$A55,Etapas!$Q$2:$Q$400,$C$53)</f>
        <v>0</v>
      </c>
      <c r="D55" s="61" t="n">
        <f aca="false">COUNTIFS(Etapas!$G$2:$G$400,$A55,Etapas!$Q$2:$Q$400,$D$53)</f>
        <v>1</v>
      </c>
      <c r="E55" s="61" t="n">
        <f aca="false">COUNTIFS(Etapas!$G$2:$G$400,$A55,Etapas!$Q$2:$Q$400,$E$53)</f>
        <v>0</v>
      </c>
      <c r="F55" s="62" t="n">
        <f aca="false">IF(B55=0,0,(C55+D55+E55)/B55)</f>
        <v>0.142857142857143</v>
      </c>
      <c r="G55" s="63" t="str">
        <f aca="false">REPT("█",ROUND(F55*18,0))&amp;REPT("░",18-ROUND(F55*18,0))</f>
        <v>███░░░░░░░░░░░░░░░</v>
      </c>
    </row>
    <row r="56" customFormat="false" ht="15" hidden="false" customHeight="false" outlineLevel="0" collapsed="false">
      <c r="A56" s="56" t="s">
        <v>89</v>
      </c>
      <c r="B56" s="57" t="n">
        <f aca="false">COUNTIF(Etapas!$G$2:$G$400,$A56)</f>
        <v>7</v>
      </c>
      <c r="C56" s="57" t="n">
        <f aca="false">COUNTIFS(Etapas!$G$2:$G$400,$A56,Etapas!$Q$2:$Q$400,$C$53)</f>
        <v>0</v>
      </c>
      <c r="D56" s="57" t="n">
        <f aca="false">COUNTIFS(Etapas!$G$2:$G$400,$A56,Etapas!$Q$2:$Q$400,$D$53)</f>
        <v>1</v>
      </c>
      <c r="E56" s="57" t="n">
        <f aca="false">COUNTIFS(Etapas!$G$2:$G$400,$A56,Etapas!$Q$2:$Q$400,$E$53)</f>
        <v>0</v>
      </c>
      <c r="F56" s="58" t="n">
        <f aca="false">IF(B56=0,0,(C56+D56+E56)/B56)</f>
        <v>0.142857142857143</v>
      </c>
      <c r="G56" s="59" t="str">
        <f aca="false">REPT("█",ROUND(F56*18,0))&amp;REPT("░",18-ROUND(F56*18,0))</f>
        <v>███░░░░░░░░░░░░░░░</v>
      </c>
    </row>
    <row r="57" customFormat="false" ht="15" hidden="false" customHeight="false" outlineLevel="0" collapsed="false">
      <c r="A57" s="60" t="s">
        <v>90</v>
      </c>
      <c r="B57" s="61" t="n">
        <f aca="false">COUNTIF(Etapas!$G$2:$G$400,$A57)</f>
        <v>7</v>
      </c>
      <c r="C57" s="61" t="n">
        <f aca="false">COUNTIFS(Etapas!$G$2:$G$400,$A57,Etapas!$Q$2:$Q$400,$C$53)</f>
        <v>0</v>
      </c>
      <c r="D57" s="61" t="n">
        <f aca="false">COUNTIFS(Etapas!$G$2:$G$400,$A57,Etapas!$Q$2:$Q$400,$D$53)</f>
        <v>1</v>
      </c>
      <c r="E57" s="61" t="n">
        <f aca="false">COUNTIFS(Etapas!$G$2:$G$400,$A57,Etapas!$Q$2:$Q$400,$E$53)</f>
        <v>0</v>
      </c>
      <c r="F57" s="62" t="n">
        <f aca="false">IF(B57=0,0,(C57+D57+E57)/B57)</f>
        <v>0.142857142857143</v>
      </c>
      <c r="G57" s="63" t="str">
        <f aca="false">REPT("█",ROUND(F57*18,0))&amp;REPT("░",18-ROUND(F57*18,0))</f>
        <v>███░░░░░░░░░░░░░░░</v>
      </c>
    </row>
    <row r="58" customFormat="false" ht="15" hidden="false" customHeight="false" outlineLevel="0" collapsed="false">
      <c r="A58" s="56" t="s">
        <v>91</v>
      </c>
      <c r="B58" s="57" t="n">
        <f aca="false">COUNTIF(Etapas!$G$2:$G$400,$A58)</f>
        <v>7</v>
      </c>
      <c r="C58" s="57" t="n">
        <f aca="false">COUNTIFS(Etapas!$G$2:$G$400,$A58,Etapas!$Q$2:$Q$400,$C$53)</f>
        <v>0</v>
      </c>
      <c r="D58" s="57" t="n">
        <f aca="false">COUNTIFS(Etapas!$G$2:$G$400,$A58,Etapas!$Q$2:$Q$400,$D$53)</f>
        <v>1</v>
      </c>
      <c r="E58" s="57" t="n">
        <f aca="false">COUNTIFS(Etapas!$G$2:$G$400,$A58,Etapas!$Q$2:$Q$400,$E$53)</f>
        <v>0</v>
      </c>
      <c r="F58" s="58" t="n">
        <f aca="false">IF(B58=0,0,(C58+D58+E58)/B58)</f>
        <v>0.142857142857143</v>
      </c>
      <c r="G58" s="59" t="str">
        <f aca="false">REPT("█",ROUND(F58*18,0))&amp;REPT("░",18-ROUND(F58*18,0))</f>
        <v>███░░░░░░░░░░░░░░░</v>
      </c>
    </row>
    <row r="59" customFormat="false" ht="15" hidden="false" customHeight="false" outlineLevel="0" collapsed="false">
      <c r="A59" s="60" t="s">
        <v>92</v>
      </c>
      <c r="B59" s="61" t="n">
        <f aca="false">COUNTIF(Etapas!$G$2:$G$400,$A59)</f>
        <v>7</v>
      </c>
      <c r="C59" s="61" t="n">
        <f aca="false">COUNTIFS(Etapas!$G$2:$G$400,$A59,Etapas!$Q$2:$Q$400,$C$53)</f>
        <v>0</v>
      </c>
      <c r="D59" s="61" t="n">
        <f aca="false">COUNTIFS(Etapas!$G$2:$G$400,$A59,Etapas!$Q$2:$Q$400,$D$53)</f>
        <v>1</v>
      </c>
      <c r="E59" s="61" t="n">
        <f aca="false">COUNTIFS(Etapas!$G$2:$G$400,$A59,Etapas!$Q$2:$Q$400,$E$53)</f>
        <v>0</v>
      </c>
      <c r="F59" s="62" t="n">
        <f aca="false">IF(B59=0,0,(C59+D59+E59)/B59)</f>
        <v>0.142857142857143</v>
      </c>
      <c r="G59" s="63" t="str">
        <f aca="false">REPT("█",ROUND(F59*18,0))&amp;REPT("░",18-ROUND(F59*18,0))</f>
        <v>███░░░░░░░░░░░░░░░</v>
      </c>
    </row>
    <row r="60" customFormat="false" ht="15" hidden="false" customHeight="false" outlineLevel="0" collapsed="false">
      <c r="A60" s="56" t="s">
        <v>93</v>
      </c>
      <c r="B60" s="57" t="n">
        <f aca="false">COUNTIF(Etapas!$G$2:$G$400,$A60)</f>
        <v>7</v>
      </c>
      <c r="C60" s="57" t="n">
        <f aca="false">COUNTIFS(Etapas!$G$2:$G$400,$A60,Etapas!$Q$2:$Q$400,$C$53)</f>
        <v>0</v>
      </c>
      <c r="D60" s="57" t="n">
        <f aca="false">COUNTIFS(Etapas!$G$2:$G$400,$A60,Etapas!$Q$2:$Q$400,$D$53)</f>
        <v>1</v>
      </c>
      <c r="E60" s="57" t="n">
        <f aca="false">COUNTIFS(Etapas!$G$2:$G$400,$A60,Etapas!$Q$2:$Q$400,$E$53)</f>
        <v>0</v>
      </c>
      <c r="F60" s="58" t="n">
        <f aca="false">IF(B60=0,0,(C60+D60+E60)/B60)</f>
        <v>0.142857142857143</v>
      </c>
      <c r="G60" s="59" t="str">
        <f aca="false">REPT("█",ROUND(F60*18,0))&amp;REPT("░",18-ROUND(F60*18,0))</f>
        <v>███░░░░░░░░░░░░░░░</v>
      </c>
    </row>
    <row r="61" customFormat="false" ht="15" hidden="false" customHeight="false" outlineLevel="0" collapsed="false">
      <c r="A61" s="60" t="s">
        <v>94</v>
      </c>
      <c r="B61" s="61" t="n">
        <f aca="false">COUNTIF(Etapas!$G$2:$G$400,$A61)</f>
        <v>7</v>
      </c>
      <c r="C61" s="61" t="n">
        <f aca="false">COUNTIFS(Etapas!$G$2:$G$400,$A61,Etapas!$Q$2:$Q$400,$C$53)</f>
        <v>0</v>
      </c>
      <c r="D61" s="61" t="n">
        <f aca="false">COUNTIFS(Etapas!$G$2:$G$400,$A61,Etapas!$Q$2:$Q$400,$D$53)</f>
        <v>1</v>
      </c>
      <c r="E61" s="61" t="n">
        <f aca="false">COUNTIFS(Etapas!$G$2:$G$400,$A61,Etapas!$Q$2:$Q$400,$E$53)</f>
        <v>0</v>
      </c>
      <c r="F61" s="62" t="n">
        <f aca="false">IF(B61=0,0,(C61+D61+E61)/B61)</f>
        <v>0.142857142857143</v>
      </c>
      <c r="G61" s="63" t="str">
        <f aca="false">REPT("█",ROUND(F61*18,0))&amp;REPT("░",18-ROUND(F61*18,0))</f>
        <v>███░░░░░░░░░░░░░░░</v>
      </c>
    </row>
    <row r="62" customFormat="false" ht="15" hidden="false" customHeight="false" outlineLevel="0" collapsed="false">
      <c r="A62" s="56" t="s">
        <v>95</v>
      </c>
      <c r="B62" s="57" t="n">
        <f aca="false">COUNTIF(Etapas!$G$2:$G$400,$A62)</f>
        <v>7</v>
      </c>
      <c r="C62" s="57" t="n">
        <f aca="false">COUNTIFS(Etapas!$G$2:$G$400,$A62,Etapas!$Q$2:$Q$400,$C$53)</f>
        <v>0</v>
      </c>
      <c r="D62" s="57" t="n">
        <f aca="false">COUNTIFS(Etapas!$G$2:$G$400,$A62,Etapas!$Q$2:$Q$400,$D$53)</f>
        <v>1</v>
      </c>
      <c r="E62" s="57" t="n">
        <f aca="false">COUNTIFS(Etapas!$G$2:$G$400,$A62,Etapas!$Q$2:$Q$400,$E$53)</f>
        <v>0</v>
      </c>
      <c r="F62" s="58" t="n">
        <f aca="false">IF(B62=0,0,(C62+D62+E62)/B62)</f>
        <v>0.142857142857143</v>
      </c>
      <c r="G62" s="59" t="str">
        <f aca="false">REPT("█",ROUND(F62*18,0))&amp;REPT("░",18-ROUND(F62*18,0))</f>
        <v>███░░░░░░░░░░░░░░░</v>
      </c>
    </row>
    <row r="63" customFormat="false" ht="15" hidden="false" customHeight="false" outlineLevel="0" collapsed="false">
      <c r="A63" s="60" t="s">
        <v>96</v>
      </c>
      <c r="B63" s="61" t="n">
        <f aca="false">COUNTIF(Etapas!$G$2:$G$400,$A63)</f>
        <v>7</v>
      </c>
      <c r="C63" s="61" t="n">
        <f aca="false">COUNTIFS(Etapas!$G$2:$G$400,$A63,Etapas!$Q$2:$Q$400,$C$53)</f>
        <v>0</v>
      </c>
      <c r="D63" s="61" t="n">
        <f aca="false">COUNTIFS(Etapas!$G$2:$G$400,$A63,Etapas!$Q$2:$Q$400,$D$53)</f>
        <v>1</v>
      </c>
      <c r="E63" s="61" t="n">
        <f aca="false">COUNTIFS(Etapas!$G$2:$G$400,$A63,Etapas!$Q$2:$Q$400,$E$53)</f>
        <v>0</v>
      </c>
      <c r="F63" s="62" t="n">
        <f aca="false">IF(B63=0,0,(C63+D63+E63)/B63)</f>
        <v>0.142857142857143</v>
      </c>
      <c r="G63" s="63" t="str">
        <f aca="false">REPT("█",ROUND(F63*18,0))&amp;REPT("░",18-ROUND(F63*18,0))</f>
        <v>███░░░░░░░░░░░░░░░</v>
      </c>
    </row>
    <row r="64" customFormat="false" ht="15" hidden="false" customHeight="false" outlineLevel="0" collapsed="false">
      <c r="A64" s="56" t="s">
        <v>97</v>
      </c>
      <c r="B64" s="57" t="n">
        <f aca="false">COUNTIF(Etapas!$G$2:$G$400,$A64)</f>
        <v>7</v>
      </c>
      <c r="C64" s="57" t="n">
        <f aca="false">COUNTIFS(Etapas!$G$2:$G$400,$A64,Etapas!$Q$2:$Q$400,$C$53)</f>
        <v>0</v>
      </c>
      <c r="D64" s="57" t="n">
        <f aca="false">COUNTIFS(Etapas!$G$2:$G$400,$A64,Etapas!$Q$2:$Q$400,$D$53)</f>
        <v>1</v>
      </c>
      <c r="E64" s="57" t="n">
        <f aca="false">COUNTIFS(Etapas!$G$2:$G$400,$A64,Etapas!$Q$2:$Q$400,$E$53)</f>
        <v>0</v>
      </c>
      <c r="F64" s="58" t="n">
        <f aca="false">IF(B64=0,0,(C64+D64+E64)/B64)</f>
        <v>0.142857142857143</v>
      </c>
      <c r="G64" s="59" t="str">
        <f aca="false">REPT("█",ROUND(F64*18,0))&amp;REPT("░",18-ROUND(F64*18,0))</f>
        <v>███░░░░░░░░░░░░░░░</v>
      </c>
    </row>
    <row r="65" customFormat="false" ht="15" hidden="false" customHeight="false" outlineLevel="0" collapsed="false">
      <c r="A65" s="60" t="s">
        <v>98</v>
      </c>
      <c r="B65" s="61" t="n">
        <f aca="false">COUNTIF(Etapas!$G$2:$G$400,$A65)</f>
        <v>7</v>
      </c>
      <c r="C65" s="61" t="n">
        <f aca="false">COUNTIFS(Etapas!$G$2:$G$400,$A65,Etapas!$Q$2:$Q$400,$C$53)</f>
        <v>0</v>
      </c>
      <c r="D65" s="61" t="n">
        <f aca="false">COUNTIFS(Etapas!$G$2:$G$400,$A65,Etapas!$Q$2:$Q$400,$D$53)</f>
        <v>1</v>
      </c>
      <c r="E65" s="61" t="n">
        <f aca="false">COUNTIFS(Etapas!$G$2:$G$400,$A65,Etapas!$Q$2:$Q$400,$E$53)</f>
        <v>0</v>
      </c>
      <c r="F65" s="62" t="n">
        <f aca="false">IF(B65=0,0,(C65+D65+E65)/B65)</f>
        <v>0.142857142857143</v>
      </c>
      <c r="G65" s="63" t="str">
        <f aca="false">REPT("█",ROUND(F65*18,0))&amp;REPT("░",18-ROUND(F65*18,0))</f>
        <v>███░░░░░░░░░░░░░░░</v>
      </c>
    </row>
    <row r="66" customFormat="false" ht="15" hidden="false" customHeight="false" outlineLevel="0" collapsed="false">
      <c r="A66" s="56" t="s">
        <v>99</v>
      </c>
      <c r="B66" s="57" t="n">
        <f aca="false">COUNTIF(Etapas!$G$2:$G$400,$A66)</f>
        <v>7</v>
      </c>
      <c r="C66" s="57" t="n">
        <f aca="false">COUNTIFS(Etapas!$G$2:$G$400,$A66,Etapas!$Q$2:$Q$400,$C$53)</f>
        <v>0</v>
      </c>
      <c r="D66" s="57" t="n">
        <f aca="false">COUNTIFS(Etapas!$G$2:$G$400,$A66,Etapas!$Q$2:$Q$400,$D$53)</f>
        <v>1</v>
      </c>
      <c r="E66" s="57" t="n">
        <f aca="false">COUNTIFS(Etapas!$G$2:$G$400,$A66,Etapas!$Q$2:$Q$400,$E$53)</f>
        <v>0</v>
      </c>
      <c r="F66" s="58" t="n">
        <f aca="false">IF(B66=0,0,(C66+D66+E66)/B66)</f>
        <v>0.142857142857143</v>
      </c>
      <c r="G66" s="59" t="str">
        <f aca="false">REPT("█",ROUND(F66*18,0))&amp;REPT("░",18-ROUND(F66*18,0))</f>
        <v>███░░░░░░░░░░░░░░░</v>
      </c>
    </row>
    <row r="67" customFormat="false" ht="15" hidden="false" customHeight="false" outlineLevel="0" collapsed="false">
      <c r="A67" s="60" t="s">
        <v>100</v>
      </c>
      <c r="B67" s="61" t="n">
        <f aca="false">COUNTIF(Etapas!$G$2:$G$400,$A67)</f>
        <v>7</v>
      </c>
      <c r="C67" s="61" t="n">
        <f aca="false">COUNTIFS(Etapas!$G$2:$G$400,$A67,Etapas!$Q$2:$Q$400,$C$53)</f>
        <v>0</v>
      </c>
      <c r="D67" s="61" t="n">
        <f aca="false">COUNTIFS(Etapas!$G$2:$G$400,$A67,Etapas!$Q$2:$Q$400,$D$53)</f>
        <v>1</v>
      </c>
      <c r="E67" s="61" t="n">
        <f aca="false">COUNTIFS(Etapas!$G$2:$G$400,$A67,Etapas!$Q$2:$Q$400,$E$53)</f>
        <v>0</v>
      </c>
      <c r="F67" s="62" t="n">
        <f aca="false">IF(B67=0,0,(C67+D67+E67)/B67)</f>
        <v>0.142857142857143</v>
      </c>
      <c r="G67" s="63" t="str">
        <f aca="false">REPT("█",ROUND(F67*18,0))&amp;REPT("░",18-ROUND(F67*18,0))</f>
        <v>███░░░░░░░░░░░░░░░</v>
      </c>
    </row>
    <row r="68" customFormat="false" ht="15" hidden="false" customHeight="false" outlineLevel="0" collapsed="false">
      <c r="A68" s="56" t="s">
        <v>101</v>
      </c>
      <c r="B68" s="57" t="n">
        <f aca="false">COUNTIF(Etapas!$G$2:$G$400,$A68)</f>
        <v>7</v>
      </c>
      <c r="C68" s="57" t="n">
        <f aca="false">COUNTIFS(Etapas!$G$2:$G$400,$A68,Etapas!$Q$2:$Q$400,$C$53)</f>
        <v>0</v>
      </c>
      <c r="D68" s="57" t="n">
        <f aca="false">COUNTIFS(Etapas!$G$2:$G$400,$A68,Etapas!$Q$2:$Q$400,$D$53)</f>
        <v>1</v>
      </c>
      <c r="E68" s="57" t="n">
        <f aca="false">COUNTIFS(Etapas!$G$2:$G$400,$A68,Etapas!$Q$2:$Q$400,$E$53)</f>
        <v>0</v>
      </c>
      <c r="F68" s="58" t="n">
        <f aca="false">IF(B68=0,0,(C68+D68+E68)/B68)</f>
        <v>0.142857142857143</v>
      </c>
      <c r="G68" s="59" t="str">
        <f aca="false">REPT("█",ROUND(F68*18,0))&amp;REPT("░",18-ROUND(F68*18,0))</f>
        <v>███░░░░░░░░░░░░░░░</v>
      </c>
    </row>
    <row r="69" customFormat="false" ht="15" hidden="false" customHeight="false" outlineLevel="0" collapsed="false">
      <c r="A69" s="60" t="s">
        <v>102</v>
      </c>
      <c r="B69" s="61" t="n">
        <f aca="false">COUNTIF(Etapas!$G$2:$G$400,$A69)</f>
        <v>7</v>
      </c>
      <c r="C69" s="61" t="n">
        <f aca="false">COUNTIFS(Etapas!$G$2:$G$400,$A69,Etapas!$Q$2:$Q$400,$C$53)</f>
        <v>0</v>
      </c>
      <c r="D69" s="61" t="n">
        <f aca="false">COUNTIFS(Etapas!$G$2:$G$400,$A69,Etapas!$Q$2:$Q$400,$D$53)</f>
        <v>1</v>
      </c>
      <c r="E69" s="61" t="n">
        <f aca="false">COUNTIFS(Etapas!$G$2:$G$400,$A69,Etapas!$Q$2:$Q$400,$E$53)</f>
        <v>0</v>
      </c>
      <c r="F69" s="62" t="n">
        <f aca="false">IF(B69=0,0,(C69+D69+E69)/B69)</f>
        <v>0.142857142857143</v>
      </c>
      <c r="G69" s="63" t="str">
        <f aca="false">REPT("█",ROUND(F69*18,0))&amp;REPT("░",18-ROUND(F69*18,0))</f>
        <v>███░░░░░░░░░░░░░░░</v>
      </c>
    </row>
    <row r="70" customFormat="false" ht="15" hidden="false" customHeight="false" outlineLevel="0" collapsed="false">
      <c r="A70" s="56" t="s">
        <v>103</v>
      </c>
      <c r="B70" s="57" t="n">
        <f aca="false">COUNTIF(Etapas!$G$2:$G$400,$A70)</f>
        <v>14</v>
      </c>
      <c r="C70" s="57" t="n">
        <f aca="false">COUNTIFS(Etapas!$G$2:$G$400,$A70,Etapas!$Q$2:$Q$400,$C$53)</f>
        <v>0</v>
      </c>
      <c r="D70" s="57" t="n">
        <f aca="false">COUNTIFS(Etapas!$G$2:$G$400,$A70,Etapas!$Q$2:$Q$400,$D$53)</f>
        <v>0</v>
      </c>
      <c r="E70" s="57" t="n">
        <f aca="false">COUNTIFS(Etapas!$G$2:$G$400,$A70,Etapas!$Q$2:$Q$400,$E$53)</f>
        <v>0</v>
      </c>
      <c r="F70" s="58" t="n">
        <f aca="false">IF(B70=0,0,(C70+D70+E70)/B70)</f>
        <v>0</v>
      </c>
      <c r="G70" s="59" t="str">
        <f aca="false">REPT("█",ROUND(F70*18,0))&amp;REPT("░",18-ROUND(F70*18,0))</f>
        <v>░░░░░░░░░░░░░░░░░░</v>
      </c>
    </row>
    <row r="71" customFormat="false" ht="15" hidden="false" customHeight="false" outlineLevel="0" collapsed="false">
      <c r="A71" s="60" t="s">
        <v>104</v>
      </c>
      <c r="B71" s="61" t="n">
        <f aca="false">COUNTIF(Etapas!$G$2:$G$400,$A71)</f>
        <v>7</v>
      </c>
      <c r="C71" s="61" t="n">
        <f aca="false">COUNTIFS(Etapas!$G$2:$G$400,$A71,Etapas!$Q$2:$Q$400,$C$53)</f>
        <v>0</v>
      </c>
      <c r="D71" s="61" t="n">
        <f aca="false">COUNTIFS(Etapas!$G$2:$G$400,$A71,Etapas!$Q$2:$Q$400,$D$53)</f>
        <v>0</v>
      </c>
      <c r="E71" s="61" t="n">
        <f aca="false">COUNTIFS(Etapas!$G$2:$G$400,$A71,Etapas!$Q$2:$Q$400,$E$53)</f>
        <v>0</v>
      </c>
      <c r="F71" s="62" t="n">
        <f aca="false">IF(B71=0,0,(C71+D71+E71)/B71)</f>
        <v>0</v>
      </c>
      <c r="G71" s="63" t="str">
        <f aca="false">REPT("█",ROUND(F71*18,0))&amp;REPT("░",18-ROUND(F71*18,0))</f>
        <v>░░░░░░░░░░░░░░░░░░</v>
      </c>
    </row>
    <row r="72" customFormat="false" ht="15" hidden="false" customHeight="false" outlineLevel="0" collapsed="false">
      <c r="A72" s="56" t="s">
        <v>105</v>
      </c>
      <c r="B72" s="57" t="n">
        <f aca="false">COUNTIF(Etapas!$G$2:$G$400,$A72)</f>
        <v>7</v>
      </c>
      <c r="C72" s="57" t="n">
        <f aca="false">COUNTIFS(Etapas!$G$2:$G$400,$A72,Etapas!$Q$2:$Q$400,$C$53)</f>
        <v>0</v>
      </c>
      <c r="D72" s="57" t="n">
        <f aca="false">COUNTIFS(Etapas!$G$2:$G$400,$A72,Etapas!$Q$2:$Q$400,$D$53)</f>
        <v>0</v>
      </c>
      <c r="E72" s="57" t="n">
        <f aca="false">COUNTIFS(Etapas!$G$2:$G$400,$A72,Etapas!$Q$2:$Q$400,$E$53)</f>
        <v>0</v>
      </c>
      <c r="F72" s="58" t="n">
        <f aca="false">IF(B72=0,0,(C72+D72+E72)/B72)</f>
        <v>0</v>
      </c>
      <c r="G72" s="59" t="str">
        <f aca="false">REPT("█",ROUND(F72*18,0))&amp;REPT("░",18-ROUND(F72*18,0))</f>
        <v>░░░░░░░░░░░░░░░░░░</v>
      </c>
    </row>
    <row r="73" customFormat="false" ht="15" hidden="false" customHeight="false" outlineLevel="0" collapsed="false">
      <c r="A73" s="60" t="s">
        <v>106</v>
      </c>
      <c r="B73" s="61" t="n">
        <f aca="false">COUNTIF(Etapas!$G$2:$G$400,$A73)</f>
        <v>7</v>
      </c>
      <c r="C73" s="61" t="n">
        <f aca="false">COUNTIFS(Etapas!$G$2:$G$400,$A73,Etapas!$Q$2:$Q$400,$C$53)</f>
        <v>0</v>
      </c>
      <c r="D73" s="61" t="n">
        <f aca="false">COUNTIFS(Etapas!$G$2:$G$400,$A73,Etapas!$Q$2:$Q$400,$D$53)</f>
        <v>0</v>
      </c>
      <c r="E73" s="61" t="n">
        <f aca="false">COUNTIFS(Etapas!$G$2:$G$400,$A73,Etapas!$Q$2:$Q$400,$E$53)</f>
        <v>0</v>
      </c>
      <c r="F73" s="62" t="n">
        <f aca="false">IF(B73=0,0,(C73+D73+E73)/B73)</f>
        <v>0</v>
      </c>
      <c r="G73" s="63" t="str">
        <f aca="false">REPT("█",ROUND(F73*18,0))&amp;REPT("░",18-ROUND(F73*18,0))</f>
        <v>░░░░░░░░░░░░░░░░░░</v>
      </c>
    </row>
    <row r="74" customFormat="false" ht="15" hidden="false" customHeight="false" outlineLevel="0" collapsed="false">
      <c r="A74" s="56" t="s">
        <v>107</v>
      </c>
      <c r="B74" s="57" t="n">
        <f aca="false">COUNTIF(Etapas!$G$2:$G$400,$A74)</f>
        <v>7</v>
      </c>
      <c r="C74" s="57" t="n">
        <f aca="false">COUNTIFS(Etapas!$G$2:$G$400,$A74,Etapas!$Q$2:$Q$400,$C$53)</f>
        <v>0</v>
      </c>
      <c r="D74" s="57" t="n">
        <f aca="false">COUNTIFS(Etapas!$G$2:$G$400,$A74,Etapas!$Q$2:$Q$400,$D$53)</f>
        <v>0</v>
      </c>
      <c r="E74" s="57" t="n">
        <f aca="false">COUNTIFS(Etapas!$G$2:$G$400,$A74,Etapas!$Q$2:$Q$400,$E$53)</f>
        <v>0</v>
      </c>
      <c r="F74" s="58" t="n">
        <f aca="false">IF(B74=0,0,(C74+D74+E74)/B74)</f>
        <v>0</v>
      </c>
      <c r="G74" s="59" t="str">
        <f aca="false">REPT("█",ROUND(F74*18,0))&amp;REPT("░",18-ROUND(F74*18,0))</f>
        <v>░░░░░░░░░░░░░░░░░░</v>
      </c>
    </row>
    <row r="75" customFormat="false" ht="15" hidden="false" customHeight="false" outlineLevel="0" collapsed="false">
      <c r="A75" s="60" t="s">
        <v>108</v>
      </c>
      <c r="B75" s="61" t="n">
        <f aca="false">COUNTIF(Etapas!$G$2:$G$400,$A75)</f>
        <v>7</v>
      </c>
      <c r="C75" s="61" t="n">
        <f aca="false">COUNTIFS(Etapas!$G$2:$G$400,$A75,Etapas!$Q$2:$Q$400,$C$53)</f>
        <v>0</v>
      </c>
      <c r="D75" s="61" t="n">
        <f aca="false">COUNTIFS(Etapas!$G$2:$G$400,$A75,Etapas!$Q$2:$Q$400,$D$53)</f>
        <v>0</v>
      </c>
      <c r="E75" s="61" t="n">
        <f aca="false">COUNTIFS(Etapas!$G$2:$G$400,$A75,Etapas!$Q$2:$Q$400,$E$53)</f>
        <v>0</v>
      </c>
      <c r="F75" s="62" t="n">
        <f aca="false">IF(B75=0,0,(C75+D75+E75)/B75)</f>
        <v>0</v>
      </c>
      <c r="G75" s="63" t="str">
        <f aca="false">REPT("█",ROUND(F75*18,0))&amp;REPT("░",18-ROUND(F75*18,0))</f>
        <v>░░░░░░░░░░░░░░░░░░</v>
      </c>
    </row>
    <row r="76" customFormat="false" ht="15" hidden="false" customHeight="false" outlineLevel="0" collapsed="false">
      <c r="A76" s="56" t="s">
        <v>109</v>
      </c>
      <c r="B76" s="57" t="n">
        <f aca="false">COUNTIF(Etapas!$G$2:$G$400,$A76)</f>
        <v>7</v>
      </c>
      <c r="C76" s="57" t="n">
        <f aca="false">COUNTIFS(Etapas!$G$2:$G$400,$A76,Etapas!$Q$2:$Q$400,$C$53)</f>
        <v>0</v>
      </c>
      <c r="D76" s="57" t="n">
        <f aca="false">COUNTIFS(Etapas!$G$2:$G$400,$A76,Etapas!$Q$2:$Q$400,$D$53)</f>
        <v>0</v>
      </c>
      <c r="E76" s="57" t="n">
        <f aca="false">COUNTIFS(Etapas!$G$2:$G$400,$A76,Etapas!$Q$2:$Q$400,$E$53)</f>
        <v>0</v>
      </c>
      <c r="F76" s="58" t="n">
        <f aca="false">IF(B76=0,0,(C76+D76+E76)/B76)</f>
        <v>0</v>
      </c>
      <c r="G76" s="59" t="str">
        <f aca="false">REPT("█",ROUND(F76*18,0))&amp;REPT("░",18-ROUND(F76*18,0))</f>
        <v>░░░░░░░░░░░░░░░░░░</v>
      </c>
    </row>
    <row r="77" customFormat="false" ht="15" hidden="false" customHeight="false" outlineLevel="0" collapsed="false">
      <c r="A77" s="60" t="s">
        <v>110</v>
      </c>
      <c r="B77" s="61" t="n">
        <f aca="false">COUNTIF(Etapas!$G$2:$G$400,$A77)</f>
        <v>7</v>
      </c>
      <c r="C77" s="61" t="n">
        <f aca="false">COUNTIFS(Etapas!$G$2:$G$400,$A77,Etapas!$Q$2:$Q$400,$C$53)</f>
        <v>0</v>
      </c>
      <c r="D77" s="61" t="n">
        <f aca="false">COUNTIFS(Etapas!$G$2:$G$400,$A77,Etapas!$Q$2:$Q$400,$D$53)</f>
        <v>0</v>
      </c>
      <c r="E77" s="61" t="n">
        <f aca="false">COUNTIFS(Etapas!$G$2:$G$400,$A77,Etapas!$Q$2:$Q$400,$E$53)</f>
        <v>0</v>
      </c>
      <c r="F77" s="62" t="n">
        <f aca="false">IF(B77=0,0,(C77+D77+E77)/B77)</f>
        <v>0</v>
      </c>
      <c r="G77" s="63" t="str">
        <f aca="false">REPT("█",ROUND(F77*18,0))&amp;REPT("░",18-ROUND(F77*18,0))</f>
        <v>░░░░░░░░░░░░░░░░░░</v>
      </c>
    </row>
    <row r="78" customFormat="false" ht="15" hidden="false" customHeight="false" outlineLevel="0" collapsed="false">
      <c r="A78" s="56" t="s">
        <v>111</v>
      </c>
      <c r="B78" s="57" t="n">
        <f aca="false">COUNTIF(Etapas!$G$2:$G$400,$A78)</f>
        <v>7</v>
      </c>
      <c r="C78" s="57" t="n">
        <f aca="false">COUNTIFS(Etapas!$G$2:$G$400,$A78,Etapas!$Q$2:$Q$400,$C$53)</f>
        <v>0</v>
      </c>
      <c r="D78" s="57" t="n">
        <f aca="false">COUNTIFS(Etapas!$G$2:$G$400,$A78,Etapas!$Q$2:$Q$400,$D$53)</f>
        <v>0</v>
      </c>
      <c r="E78" s="57" t="n">
        <f aca="false">COUNTIFS(Etapas!$G$2:$G$400,$A78,Etapas!$Q$2:$Q$400,$E$53)</f>
        <v>0</v>
      </c>
      <c r="F78" s="58" t="n">
        <f aca="false">IF(B78=0,0,(C78+D78+E78)/B78)</f>
        <v>0</v>
      </c>
      <c r="G78" s="59" t="str">
        <f aca="false">REPT("█",ROUND(F78*18,0))&amp;REPT("░",18-ROUND(F78*18,0))</f>
        <v>░░░░░░░░░░░░░░░░░░</v>
      </c>
    </row>
    <row r="79" customFormat="false" ht="15" hidden="false" customHeight="false" outlineLevel="0" collapsed="false">
      <c r="A79" s="60" t="s">
        <v>112</v>
      </c>
      <c r="B79" s="61" t="n">
        <f aca="false">COUNTIF(Etapas!$G$2:$G$400,$A79)</f>
        <v>7</v>
      </c>
      <c r="C79" s="61" t="n">
        <f aca="false">COUNTIFS(Etapas!$G$2:$G$400,$A79,Etapas!$Q$2:$Q$400,$C$53)</f>
        <v>0</v>
      </c>
      <c r="D79" s="61" t="n">
        <f aca="false">COUNTIFS(Etapas!$G$2:$G$400,$A79,Etapas!$Q$2:$Q$400,$D$53)</f>
        <v>0</v>
      </c>
      <c r="E79" s="61" t="n">
        <f aca="false">COUNTIFS(Etapas!$G$2:$G$400,$A79,Etapas!$Q$2:$Q$400,$E$53)</f>
        <v>0</v>
      </c>
      <c r="F79" s="62" t="n">
        <f aca="false">IF(B79=0,0,(C79+D79+E79)/B79)</f>
        <v>0</v>
      </c>
      <c r="G79" s="63" t="str">
        <f aca="false">REPT("█",ROUND(F79*18,0))&amp;REPT("░",18-ROUND(F79*18,0))</f>
        <v>░░░░░░░░░░░░░░░░░░</v>
      </c>
    </row>
    <row r="80" customFormat="false" ht="15" hidden="false" customHeight="false" outlineLevel="0" collapsed="false">
      <c r="A80" s="56" t="s">
        <v>113</v>
      </c>
      <c r="B80" s="57" t="n">
        <f aca="false">COUNTIF(Etapas!$G$2:$G$400,$A80)</f>
        <v>7</v>
      </c>
      <c r="C80" s="57" t="n">
        <f aca="false">COUNTIFS(Etapas!$G$2:$G$400,$A80,Etapas!$Q$2:$Q$400,$C$53)</f>
        <v>0</v>
      </c>
      <c r="D80" s="57" t="n">
        <f aca="false">COUNTIFS(Etapas!$G$2:$G$400,$A80,Etapas!$Q$2:$Q$400,$D$53)</f>
        <v>0</v>
      </c>
      <c r="E80" s="57" t="n">
        <f aca="false">COUNTIFS(Etapas!$G$2:$G$400,$A80,Etapas!$Q$2:$Q$400,$E$53)</f>
        <v>0</v>
      </c>
      <c r="F80" s="58" t="n">
        <f aca="false">IF(B80=0,0,(C80+D80+E80)/B80)</f>
        <v>0</v>
      </c>
      <c r="G80" s="59" t="str">
        <f aca="false">REPT("█",ROUND(F80*18,0))&amp;REPT("░",18-ROUND(F80*18,0))</f>
        <v>░░░░░░░░░░░░░░░░░░</v>
      </c>
    </row>
    <row r="81" customFormat="false" ht="15" hidden="false" customHeight="false" outlineLevel="0" collapsed="false">
      <c r="A81" s="60" t="s">
        <v>103</v>
      </c>
      <c r="B81" s="61" t="n">
        <f aca="false">COUNTIF(Etapas!$G$2:$G$400,$A81)</f>
        <v>14</v>
      </c>
      <c r="C81" s="61" t="n">
        <f aca="false">COUNTIFS(Etapas!$G$2:$G$400,$A81,Etapas!$Q$2:$Q$400,$C$53)</f>
        <v>0</v>
      </c>
      <c r="D81" s="61" t="n">
        <f aca="false">COUNTIFS(Etapas!$G$2:$G$400,$A81,Etapas!$Q$2:$Q$400,$D$53)</f>
        <v>0</v>
      </c>
      <c r="E81" s="61" t="n">
        <f aca="false">COUNTIFS(Etapas!$G$2:$G$400,$A81,Etapas!$Q$2:$Q$400,$E$53)</f>
        <v>0</v>
      </c>
      <c r="F81" s="62" t="n">
        <f aca="false">IF(B81=0,0,(C81+D81+E81)/B81)</f>
        <v>0</v>
      </c>
      <c r="G81" s="63" t="str">
        <f aca="false">REPT("█",ROUND(F81*18,0))&amp;REPT("░",18-ROUND(F81*18,0))</f>
        <v>░░░░░░░░░░░░░░░░░░</v>
      </c>
    </row>
    <row r="82" customFormat="false" ht="15" hidden="false" customHeight="false" outlineLevel="0" collapsed="false">
      <c r="A82" s="56" t="s">
        <v>114</v>
      </c>
      <c r="B82" s="57" t="n">
        <f aca="false">COUNTIF(Etapas!$G$2:$G$400,$A82)</f>
        <v>7</v>
      </c>
      <c r="C82" s="57" t="n">
        <f aca="false">COUNTIFS(Etapas!$G$2:$G$400,$A82,Etapas!$Q$2:$Q$400,$C$53)</f>
        <v>0</v>
      </c>
      <c r="D82" s="57" t="n">
        <f aca="false">COUNTIFS(Etapas!$G$2:$G$400,$A82,Etapas!$Q$2:$Q$400,$D$53)</f>
        <v>0</v>
      </c>
      <c r="E82" s="57" t="n">
        <f aca="false">COUNTIFS(Etapas!$G$2:$G$400,$A82,Etapas!$Q$2:$Q$400,$E$53)</f>
        <v>0</v>
      </c>
      <c r="F82" s="58" t="n">
        <f aca="false">IF(B82=0,0,(C82+D82+E82)/B82)</f>
        <v>0</v>
      </c>
      <c r="G82" s="59" t="str">
        <f aca="false">REPT("█",ROUND(F82*18,0))&amp;REPT("░",18-ROUND(F82*18,0))</f>
        <v>░░░░░░░░░░░░░░░░░░</v>
      </c>
    </row>
    <row r="83" customFormat="false" ht="15" hidden="false" customHeight="false" outlineLevel="0" collapsed="false">
      <c r="A83" s="60" t="s">
        <v>115</v>
      </c>
      <c r="B83" s="61" t="n">
        <f aca="false">COUNTIF(Etapas!$G$2:$G$400,$A83)</f>
        <v>7</v>
      </c>
      <c r="C83" s="61" t="n">
        <f aca="false">COUNTIFS(Etapas!$G$2:$G$400,$A83,Etapas!$Q$2:$Q$400,$C$53)</f>
        <v>0</v>
      </c>
      <c r="D83" s="61" t="n">
        <f aca="false">COUNTIFS(Etapas!$G$2:$G$400,$A83,Etapas!$Q$2:$Q$400,$D$53)</f>
        <v>0</v>
      </c>
      <c r="E83" s="61" t="n">
        <f aca="false">COUNTIFS(Etapas!$G$2:$G$400,$A83,Etapas!$Q$2:$Q$400,$E$53)</f>
        <v>0</v>
      </c>
      <c r="F83" s="62" t="n">
        <f aca="false">IF(B83=0,0,(C83+D83+E83)/B83)</f>
        <v>0</v>
      </c>
      <c r="G83" s="63" t="str">
        <f aca="false">REPT("█",ROUND(F83*18,0))&amp;REPT("░",18-ROUND(F83*18,0))</f>
        <v>░░░░░░░░░░░░░░░░░░</v>
      </c>
    </row>
    <row r="84" customFormat="false" ht="15" hidden="false" customHeight="false" outlineLevel="0" collapsed="false">
      <c r="A84" s="56" t="s">
        <v>116</v>
      </c>
      <c r="B84" s="57" t="n">
        <f aca="false">COUNTIF(Etapas!$G$2:$G$400,$A84)</f>
        <v>7</v>
      </c>
      <c r="C84" s="57" t="n">
        <f aca="false">COUNTIFS(Etapas!$G$2:$G$400,$A84,Etapas!$Q$2:$Q$400,$C$53)</f>
        <v>0</v>
      </c>
      <c r="D84" s="57" t="n">
        <f aca="false">COUNTIFS(Etapas!$G$2:$G$400,$A84,Etapas!$Q$2:$Q$400,$D$53)</f>
        <v>0</v>
      </c>
      <c r="E84" s="57" t="n">
        <f aca="false">COUNTIFS(Etapas!$G$2:$G$400,$A84,Etapas!$Q$2:$Q$400,$E$53)</f>
        <v>0</v>
      </c>
      <c r="F84" s="58" t="n">
        <f aca="false">IF(B84=0,0,(C84+D84+E84)/B84)</f>
        <v>0</v>
      </c>
      <c r="G84" s="59" t="str">
        <f aca="false">REPT("█",ROUND(F84*18,0))&amp;REPT("░",18-ROUND(F84*18,0))</f>
        <v>░░░░░░░░░░░░░░░░░░</v>
      </c>
    </row>
    <row r="85" customFormat="false" ht="15" hidden="false" customHeight="false" outlineLevel="0" collapsed="false">
      <c r="A85" s="60" t="s">
        <v>117</v>
      </c>
      <c r="B85" s="61" t="n">
        <f aca="false">COUNTIF(Etapas!$G$2:$G$400,$A85)</f>
        <v>7</v>
      </c>
      <c r="C85" s="61" t="n">
        <f aca="false">COUNTIFS(Etapas!$G$2:$G$400,$A85,Etapas!$Q$2:$Q$400,$C$53)</f>
        <v>0</v>
      </c>
      <c r="D85" s="61" t="n">
        <f aca="false">COUNTIFS(Etapas!$G$2:$G$400,$A85,Etapas!$Q$2:$Q$400,$D$53)</f>
        <v>0</v>
      </c>
      <c r="E85" s="61" t="n">
        <f aca="false">COUNTIFS(Etapas!$G$2:$G$400,$A85,Etapas!$Q$2:$Q$400,$E$53)</f>
        <v>0</v>
      </c>
      <c r="F85" s="62" t="n">
        <f aca="false">IF(B85=0,0,(C85+D85+E85)/B85)</f>
        <v>0</v>
      </c>
      <c r="G85" s="63" t="str">
        <f aca="false">REPT("█",ROUND(F85*18,0))&amp;REPT("░",18-ROUND(F85*18,0))</f>
        <v>░░░░░░░░░░░░░░░░░░</v>
      </c>
    </row>
    <row r="86" customFormat="false" ht="15" hidden="false" customHeight="false" outlineLevel="0" collapsed="false">
      <c r="A86" s="56" t="s">
        <v>118</v>
      </c>
      <c r="B86" s="57" t="n">
        <f aca="false">COUNTIF(Etapas!$G$2:$G$400,$A86)</f>
        <v>7</v>
      </c>
      <c r="C86" s="57" t="n">
        <f aca="false">COUNTIFS(Etapas!$G$2:$G$400,$A86,Etapas!$Q$2:$Q$400,$C$53)</f>
        <v>0</v>
      </c>
      <c r="D86" s="57" t="n">
        <f aca="false">COUNTIFS(Etapas!$G$2:$G$400,$A86,Etapas!$Q$2:$Q$400,$D$53)</f>
        <v>0</v>
      </c>
      <c r="E86" s="57" t="n">
        <f aca="false">COUNTIFS(Etapas!$G$2:$G$400,$A86,Etapas!$Q$2:$Q$400,$E$53)</f>
        <v>0</v>
      </c>
      <c r="F86" s="58" t="n">
        <f aca="false">IF(B86=0,0,(C86+D86+E86)/B86)</f>
        <v>0</v>
      </c>
      <c r="G86" s="59" t="str">
        <f aca="false">REPT("█",ROUND(F86*18,0))&amp;REPT("░",18-ROUND(F86*18,0))</f>
        <v>░░░░░░░░░░░░░░░░░░</v>
      </c>
    </row>
    <row r="87" customFormat="false" ht="15" hidden="false" customHeight="false" outlineLevel="0" collapsed="false">
      <c r="A87" s="60" t="s">
        <v>119</v>
      </c>
      <c r="B87" s="61" t="n">
        <f aca="false">COUNTIF(Etapas!$G$2:$G$400,$A87)</f>
        <v>7</v>
      </c>
      <c r="C87" s="61" t="n">
        <f aca="false">COUNTIFS(Etapas!$G$2:$G$400,$A87,Etapas!$Q$2:$Q$400,$C$53)</f>
        <v>0</v>
      </c>
      <c r="D87" s="61" t="n">
        <f aca="false">COUNTIFS(Etapas!$G$2:$G$400,$A87,Etapas!$Q$2:$Q$400,$D$53)</f>
        <v>0</v>
      </c>
      <c r="E87" s="61" t="n">
        <f aca="false">COUNTIFS(Etapas!$G$2:$G$400,$A87,Etapas!$Q$2:$Q$400,$E$53)</f>
        <v>0</v>
      </c>
      <c r="F87" s="62" t="n">
        <f aca="false">IF(B87=0,0,(C87+D87+E87)/B87)</f>
        <v>0</v>
      </c>
      <c r="G87" s="63" t="str">
        <f aca="false">REPT("█",ROUND(F87*18,0))&amp;REPT("░",18-ROUND(F87*18,0))</f>
        <v>░░░░░░░░░░░░░░░░░░</v>
      </c>
    </row>
    <row r="88" customFormat="false" ht="15" hidden="false" customHeight="false" outlineLevel="0" collapsed="false">
      <c r="A88" s="56" t="s">
        <v>120</v>
      </c>
      <c r="B88" s="57" t="n">
        <f aca="false">COUNTIF(Etapas!$G$2:$G$400,$A88)</f>
        <v>7</v>
      </c>
      <c r="C88" s="57" t="n">
        <f aca="false">COUNTIFS(Etapas!$G$2:$G$400,$A88,Etapas!$Q$2:$Q$400,$C$53)</f>
        <v>0</v>
      </c>
      <c r="D88" s="57" t="n">
        <f aca="false">COUNTIFS(Etapas!$G$2:$G$400,$A88,Etapas!$Q$2:$Q$400,$D$53)</f>
        <v>0</v>
      </c>
      <c r="E88" s="57" t="n">
        <f aca="false">COUNTIFS(Etapas!$G$2:$G$400,$A88,Etapas!$Q$2:$Q$400,$E$53)</f>
        <v>0</v>
      </c>
      <c r="F88" s="58" t="n">
        <f aca="false">IF(B88=0,0,(C88+D88+E88)/B88)</f>
        <v>0</v>
      </c>
      <c r="G88" s="59" t="str">
        <f aca="false">REPT("█",ROUND(F88*18,0))&amp;REPT("░",18-ROUND(F88*18,0))</f>
        <v>░░░░░░░░░░░░░░░░░░</v>
      </c>
    </row>
    <row r="89" customFormat="false" ht="15" hidden="false" customHeight="false" outlineLevel="0" collapsed="false">
      <c r="A89" s="60" t="s">
        <v>121</v>
      </c>
      <c r="B89" s="61" t="n">
        <f aca="false">COUNTIF(Etapas!$G$2:$G$400,$A89)</f>
        <v>7</v>
      </c>
      <c r="C89" s="61" t="n">
        <f aca="false">COUNTIFS(Etapas!$G$2:$G$400,$A89,Etapas!$Q$2:$Q$400,$C$53)</f>
        <v>0</v>
      </c>
      <c r="D89" s="61" t="n">
        <f aca="false">COUNTIFS(Etapas!$G$2:$G$400,$A89,Etapas!$Q$2:$Q$400,$D$53)</f>
        <v>0</v>
      </c>
      <c r="E89" s="61" t="n">
        <f aca="false">COUNTIFS(Etapas!$G$2:$G$400,$A89,Etapas!$Q$2:$Q$400,$E$53)</f>
        <v>0</v>
      </c>
      <c r="F89" s="62" t="n">
        <f aca="false">IF(B89=0,0,(C89+D89+E89)/B89)</f>
        <v>0</v>
      </c>
      <c r="G89" s="63" t="str">
        <f aca="false">REPT("█",ROUND(F89*18,0))&amp;REPT("░",18-ROUND(F89*18,0))</f>
        <v>░░░░░░░░░░░░░░░░░░</v>
      </c>
    </row>
    <row r="90" customFormat="false" ht="15" hidden="false" customHeight="false" outlineLevel="0" collapsed="false">
      <c r="A90" s="56" t="s">
        <v>122</v>
      </c>
      <c r="B90" s="57" t="n">
        <f aca="false">COUNTIF(Etapas!$G$2:$G$400,$A90)</f>
        <v>7</v>
      </c>
      <c r="C90" s="57" t="n">
        <f aca="false">COUNTIFS(Etapas!$G$2:$G$400,$A90,Etapas!$Q$2:$Q$400,$C$53)</f>
        <v>0</v>
      </c>
      <c r="D90" s="57" t="n">
        <f aca="false">COUNTIFS(Etapas!$G$2:$G$400,$A90,Etapas!$Q$2:$Q$400,$D$53)</f>
        <v>0</v>
      </c>
      <c r="E90" s="57" t="n">
        <f aca="false">COUNTIFS(Etapas!$G$2:$G$400,$A90,Etapas!$Q$2:$Q$400,$E$53)</f>
        <v>0</v>
      </c>
      <c r="F90" s="58" t="n">
        <f aca="false">IF(B90=0,0,(C90+D90+E90)/B90)</f>
        <v>0</v>
      </c>
      <c r="G90" s="59" t="str">
        <f aca="false">REPT("█",ROUND(F90*18,0))&amp;REPT("░",18-ROUND(F90*18,0))</f>
        <v>░░░░░░░░░░░░░░░░░░</v>
      </c>
    </row>
    <row r="91" customFormat="false" ht="15" hidden="false" customHeight="false" outlineLevel="0" collapsed="false">
      <c r="A91" s="60" t="s">
        <v>123</v>
      </c>
      <c r="B91" s="61" t="n">
        <f aca="false">COUNTIF(Etapas!$G$2:$G$400,$A91)</f>
        <v>7</v>
      </c>
      <c r="C91" s="61" t="n">
        <f aca="false">COUNTIFS(Etapas!$G$2:$G$400,$A91,Etapas!$Q$2:$Q$400,$C$53)</f>
        <v>0</v>
      </c>
      <c r="D91" s="61" t="n">
        <f aca="false">COUNTIFS(Etapas!$G$2:$G$400,$A91,Etapas!$Q$2:$Q$400,$D$53)</f>
        <v>0</v>
      </c>
      <c r="E91" s="61" t="n">
        <f aca="false">COUNTIFS(Etapas!$G$2:$G$400,$A91,Etapas!$Q$2:$Q$400,$E$53)</f>
        <v>0</v>
      </c>
      <c r="F91" s="62" t="n">
        <f aca="false">IF(B91=0,0,(C91+D91+E91)/B91)</f>
        <v>0</v>
      </c>
      <c r="G91" s="63" t="str">
        <f aca="false">REPT("█",ROUND(F91*18,0))&amp;REPT("░",18-ROUND(F91*18,0))</f>
        <v>░░░░░░░░░░░░░░░░░░</v>
      </c>
    </row>
    <row r="92" customFormat="false" ht="15" hidden="false" customHeight="false" outlineLevel="0" collapsed="false">
      <c r="A92" s="56" t="s">
        <v>124</v>
      </c>
      <c r="B92" s="57" t="n">
        <f aca="false">COUNTIF(Etapas!$G$2:$G$400,$A92)</f>
        <v>7</v>
      </c>
      <c r="C92" s="57" t="n">
        <f aca="false">COUNTIFS(Etapas!$G$2:$G$400,$A92,Etapas!$Q$2:$Q$400,$C$53)</f>
        <v>0</v>
      </c>
      <c r="D92" s="57" t="n">
        <f aca="false">COUNTIFS(Etapas!$G$2:$G$400,$A92,Etapas!$Q$2:$Q$400,$D$53)</f>
        <v>0</v>
      </c>
      <c r="E92" s="57" t="n">
        <f aca="false">COUNTIFS(Etapas!$G$2:$G$400,$A92,Etapas!$Q$2:$Q$400,$E$53)</f>
        <v>0</v>
      </c>
      <c r="F92" s="58" t="n">
        <f aca="false">IF(B92=0,0,(C92+D92+E92)/B92)</f>
        <v>0</v>
      </c>
      <c r="G92" s="59" t="str">
        <f aca="false">REPT("█",ROUND(F92*18,0))&amp;REPT("░",18-ROUND(F92*18,0))</f>
        <v>░░░░░░░░░░░░░░░░░░</v>
      </c>
    </row>
    <row r="93" customFormat="false" ht="15" hidden="false" customHeight="false" outlineLevel="0" collapsed="false">
      <c r="A93" s="60" t="s">
        <v>125</v>
      </c>
      <c r="B93" s="61" t="n">
        <f aca="false">COUNTIF(Etapas!$G$2:$G$400,$A93)</f>
        <v>7</v>
      </c>
      <c r="C93" s="61" t="n">
        <f aca="false">COUNTIFS(Etapas!$G$2:$G$400,$A93,Etapas!$Q$2:$Q$400,$C$53)</f>
        <v>0</v>
      </c>
      <c r="D93" s="61" t="n">
        <f aca="false">COUNTIFS(Etapas!$G$2:$G$400,$A93,Etapas!$Q$2:$Q$400,$D$53)</f>
        <v>0</v>
      </c>
      <c r="E93" s="61" t="n">
        <f aca="false">COUNTIFS(Etapas!$G$2:$G$400,$A93,Etapas!$Q$2:$Q$400,$E$53)</f>
        <v>0</v>
      </c>
      <c r="F93" s="62" t="n">
        <f aca="false">IF(B93=0,0,(C93+D93+E93)/B93)</f>
        <v>0</v>
      </c>
      <c r="G93" s="63" t="str">
        <f aca="false">REPT("█",ROUND(F93*18,0))&amp;REPT("░",18-ROUND(F93*18,0))</f>
        <v>░░░░░░░░░░░░░░░░░░</v>
      </c>
    </row>
    <row r="94" customFormat="false" ht="15" hidden="false" customHeight="false" outlineLevel="0" collapsed="false">
      <c r="A94" s="56" t="s">
        <v>126</v>
      </c>
      <c r="B94" s="57" t="n">
        <f aca="false">COUNTIF(Etapas!$G$2:$G$400,$A94)</f>
        <v>7</v>
      </c>
      <c r="C94" s="57" t="n">
        <f aca="false">COUNTIFS(Etapas!$G$2:$G$400,$A94,Etapas!$Q$2:$Q$400,$C$53)</f>
        <v>0</v>
      </c>
      <c r="D94" s="57" t="n">
        <f aca="false">COUNTIFS(Etapas!$G$2:$G$400,$A94,Etapas!$Q$2:$Q$400,$D$53)</f>
        <v>0</v>
      </c>
      <c r="E94" s="57" t="n">
        <f aca="false">COUNTIFS(Etapas!$G$2:$G$400,$A94,Etapas!$Q$2:$Q$400,$E$53)</f>
        <v>0</v>
      </c>
      <c r="F94" s="58" t="n">
        <f aca="false">IF(B94=0,0,(C94+D94+E94)/B94)</f>
        <v>0</v>
      </c>
      <c r="G94" s="59" t="str">
        <f aca="false">REPT("█",ROUND(F94*18,0))&amp;REPT("░",18-ROUND(F94*18,0))</f>
        <v>░░░░░░░░░░░░░░░░░░</v>
      </c>
    </row>
    <row r="95" customFormat="false" ht="15" hidden="false" customHeight="false" outlineLevel="0" collapsed="false">
      <c r="A95" s="60" t="s">
        <v>127</v>
      </c>
      <c r="B95" s="61" t="n">
        <f aca="false">COUNTIF(Etapas!$G$2:$G$400,$A95)</f>
        <v>7</v>
      </c>
      <c r="C95" s="61" t="n">
        <f aca="false">COUNTIFS(Etapas!$G$2:$G$400,$A95,Etapas!$Q$2:$Q$400,$C$53)</f>
        <v>0</v>
      </c>
      <c r="D95" s="61" t="n">
        <f aca="false">COUNTIFS(Etapas!$G$2:$G$400,$A95,Etapas!$Q$2:$Q$400,$D$53)</f>
        <v>0</v>
      </c>
      <c r="E95" s="61" t="n">
        <f aca="false">COUNTIFS(Etapas!$G$2:$G$400,$A95,Etapas!$Q$2:$Q$400,$E$53)</f>
        <v>0</v>
      </c>
      <c r="F95" s="62" t="n">
        <f aca="false">IF(B95=0,0,(C95+D95+E95)/B95)</f>
        <v>0</v>
      </c>
      <c r="G95" s="63" t="str">
        <f aca="false">REPT("█",ROUND(F95*18,0))&amp;REPT("░",18-ROUND(F95*18,0))</f>
        <v>░░░░░░░░░░░░░░░░░░</v>
      </c>
    </row>
    <row r="98" customFormat="false" ht="21.75" hidden="false" customHeight="true" outlineLevel="0" collapsed="false">
      <c r="A98" s="44" t="s">
        <v>128</v>
      </c>
      <c r="B98" s="44"/>
      <c r="C98" s="44"/>
      <c r="D98" s="44"/>
      <c r="E98" s="44"/>
      <c r="F98" s="44"/>
      <c r="G98" s="44"/>
      <c r="H98" s="1"/>
      <c r="I98" s="1"/>
      <c r="J98" s="1"/>
      <c r="K98" s="1"/>
    </row>
    <row r="100" customFormat="false" ht="27.75" hidden="false" customHeight="true" outlineLevel="0" collapsed="false">
      <c r="A100" s="45" t="s">
        <v>47</v>
      </c>
      <c r="B100" s="45" t="s">
        <v>48</v>
      </c>
      <c r="C100" s="45" t="s">
        <v>129</v>
      </c>
      <c r="D100" s="45" t="s">
        <v>130</v>
      </c>
      <c r="E100" s="45" t="s">
        <v>131</v>
      </c>
      <c r="F100" s="45" t="s">
        <v>132</v>
      </c>
      <c r="G100" s="45" t="s">
        <v>133</v>
      </c>
    </row>
    <row r="101" customFormat="false" ht="15" hidden="false" customHeight="false" outlineLevel="0" collapsed="false">
      <c r="A101" s="54" t="s">
        <v>60</v>
      </c>
      <c r="B101" s="55" t="n">
        <f aca="false">COUNTA('Req. AutoAtención'!D2:D200)</f>
        <v>70</v>
      </c>
      <c r="C101" s="55" t="n">
        <f aca="false">COUNTIF('Req. AutoAtención'!L2:L200,"Listo")</f>
        <v>37</v>
      </c>
      <c r="D101" s="55" t="n">
        <f aca="false">COUNTIF('Req. AutoAtención'!L2:L200,"Maqueta")</f>
        <v>9</v>
      </c>
      <c r="E101" s="55" t="n">
        <f aca="false">COUNTIF('Req. AutoAtención'!L2:L200,"Pendiente")</f>
        <v>24</v>
      </c>
      <c r="F101" s="55" t="n">
        <f aca="false">COUNTIF('Req. AutoAtención'!L2:L200,"Observado")</f>
        <v>0</v>
      </c>
      <c r="G101" s="50" t="n">
        <f aca="false">IF(B101=0,0,C101/B101)</f>
        <v>0.528571428571429</v>
      </c>
    </row>
    <row r="102" customFormat="false" ht="15" hidden="false" customHeight="false" outlineLevel="0" collapsed="false">
      <c r="A102" s="51" t="s">
        <v>61</v>
      </c>
      <c r="B102" s="52" t="n">
        <f aca="false">COUNTA('Req. RAD'!D2:D200)</f>
        <v>87</v>
      </c>
      <c r="C102" s="52" t="n">
        <f aca="false">COUNTIF('Req. RAD'!H2:H200,"Listo")</f>
        <v>60</v>
      </c>
      <c r="D102" s="52" t="n">
        <f aca="false">COUNTIF('Req. RAD'!H2:H200,"Maqueta")</f>
        <v>0</v>
      </c>
      <c r="E102" s="52" t="n">
        <f aca="false">COUNTIF('Req. RAD'!H2:H200,"Pendiente")</f>
        <v>19</v>
      </c>
      <c r="F102" s="52" t="n">
        <f aca="false">COUNTIF('Req. RAD'!H2:H200,"Observado")</f>
        <v>8</v>
      </c>
      <c r="G102" s="53" t="n">
        <f aca="false">IF(B102=0,0,C102/B102)</f>
        <v>0.689655172413793</v>
      </c>
    </row>
    <row r="103" customFormat="false" ht="15" hidden="false" customHeight="false" outlineLevel="0" collapsed="false">
      <c r="A103" s="54" t="s">
        <v>62</v>
      </c>
      <c r="B103" s="55" t="n">
        <f aca="false">COUNTA('Req. LM'!D2:D200)</f>
        <v>17</v>
      </c>
      <c r="C103" s="55" t="n">
        <f aca="false">COUNTIF('Req. LM'!I2:I200,"Listo")</f>
        <v>0</v>
      </c>
      <c r="D103" s="55" t="n">
        <f aca="false">COUNTIF('Req. LM'!I2:I200,"Maqueta")</f>
        <v>0</v>
      </c>
      <c r="E103" s="55" t="n">
        <f aca="false">COUNTIF('Req. LM'!I2:I200,"Pendiente")</f>
        <v>0</v>
      </c>
      <c r="F103" s="55" t="n">
        <f aca="false">COUNTIF('Req. LM'!I2:I200,"Observado")</f>
        <v>0</v>
      </c>
      <c r="G103" s="50" t="n">
        <f aca="false">IF(B103=0,0,C103/B103)</f>
        <v>0</v>
      </c>
    </row>
    <row r="104" customFormat="false" ht="15" hidden="false" customHeight="false" outlineLevel="0" collapsed="false">
      <c r="A104" s="51" t="s">
        <v>63</v>
      </c>
      <c r="B104" s="52" t="n">
        <f aca="false">COUNTA('Req. Calificaciones'!D2:D200)</f>
        <v>43</v>
      </c>
      <c r="C104" s="52" t="n">
        <f aca="false">COUNTIF('Req. Calificaciones'!I2:I200,"Listo")</f>
        <v>0</v>
      </c>
      <c r="D104" s="52" t="n">
        <f aca="false">COUNTIF('Req. Calificaciones'!I2:I200,"Maqueta")</f>
        <v>0</v>
      </c>
      <c r="E104" s="52" t="n">
        <f aca="false">COUNTIF('Req. Calificaciones'!I2:I200,"Pendiente")</f>
        <v>0</v>
      </c>
      <c r="F104" s="52" t="n">
        <f aca="false">COUNTIF('Req. Calificaciones'!I2:I200,"Observado")</f>
        <v>0</v>
      </c>
      <c r="G104" s="53" t="n">
        <f aca="false">IF(B104=0,0,C104/B104)</f>
        <v>0</v>
      </c>
    </row>
    <row r="105" customFormat="false" ht="15" hidden="false" customHeight="false" outlineLevel="0" collapsed="false">
      <c r="A105" s="54" t="s">
        <v>64</v>
      </c>
      <c r="B105" s="55" t="n">
        <f aca="false">COUNTA('Req. FORCAP'!D2:D200)</f>
        <v>0</v>
      </c>
      <c r="C105" s="55" t="n">
        <f aca="false">COUNTIF('Req. FORCAP'!I2:I200,"Listo")</f>
        <v>0</v>
      </c>
      <c r="D105" s="55" t="n">
        <f aca="false">COUNTIF('Req. FORCAP'!I2:I200,"Maqueta")</f>
        <v>0</v>
      </c>
      <c r="E105" s="55" t="n">
        <f aca="false">COUNTIF('Req. FORCAP'!I2:I200,"Pendiente")</f>
        <v>0</v>
      </c>
      <c r="F105" s="55" t="n">
        <f aca="false">COUNTIF('Req. FORCAP'!I2:I200,"Observado")</f>
        <v>0</v>
      </c>
      <c r="G105" s="50" t="n">
        <f aca="false">IF(B105=0,0,C105/B105)</f>
        <v>0</v>
      </c>
    </row>
    <row r="106" customFormat="false" ht="15" hidden="false" customHeight="false" outlineLevel="0" collapsed="false">
      <c r="A106" s="51" t="s">
        <v>66</v>
      </c>
      <c r="B106" s="52" t="n">
        <f aca="false">COUNTA('Req. Portal'!D2:D200)</f>
        <v>0</v>
      </c>
      <c r="C106" s="52" t="n">
        <f aca="false">COUNTIF('Req. Portal'!I2:I200,"Listo")</f>
        <v>0</v>
      </c>
      <c r="D106" s="52" t="n">
        <f aca="false">COUNTIF('Req. Portal'!I2:I200,"Maqueta")</f>
        <v>0</v>
      </c>
      <c r="E106" s="52" t="n">
        <f aca="false">COUNTIF('Req. Portal'!I2:I200,"Pendiente")</f>
        <v>0</v>
      </c>
      <c r="F106" s="52" t="n">
        <f aca="false">COUNTIF('Req. Portal'!I2:I200,"Observado")</f>
        <v>0</v>
      </c>
      <c r="G106" s="53" t="n">
        <f aca="false">IF(B106=0,0,C106/B106)</f>
        <v>0</v>
      </c>
    </row>
    <row r="107" customFormat="false" ht="15" hidden="false" customHeight="false" outlineLevel="0" collapsed="false">
      <c r="A107" s="54" t="s">
        <v>65</v>
      </c>
      <c r="B107" s="55" t="n">
        <f aca="false">COUNTA('Req. VALS'!D2:D200)</f>
        <v>0</v>
      </c>
      <c r="C107" s="55" t="n">
        <f aca="false">COUNTIF('Req. VALS'!I2:I200,"Listo")</f>
        <v>0</v>
      </c>
      <c r="D107" s="55" t="n">
        <f aca="false">COUNTIF('Req. VALS'!I2:I200,"Maqueta")</f>
        <v>0</v>
      </c>
      <c r="E107" s="55" t="n">
        <f aca="false">COUNTIF('Req. VALS'!I2:I200,"Pendiente")</f>
        <v>0</v>
      </c>
      <c r="F107" s="55" t="n">
        <f aca="false">COUNTIF('Req. VALS'!I2:I200,"Observado")</f>
        <v>0</v>
      </c>
      <c r="G107" s="50" t="n">
        <f aca="false">IF(B107=0,0,C107/B107)</f>
        <v>0</v>
      </c>
    </row>
    <row r="108" customFormat="false" ht="15" hidden="false" customHeight="false" outlineLevel="0" collapsed="false">
      <c r="A108" s="64" t="s">
        <v>134</v>
      </c>
      <c r="B108" s="64" t="n">
        <f aca="false">SUM(B101:B107)</f>
        <v>217</v>
      </c>
      <c r="C108" s="64" t="n">
        <f aca="false">SUM(C101:C107)</f>
        <v>97</v>
      </c>
      <c r="D108" s="64" t="n">
        <f aca="false">SUM(D101:D107)</f>
        <v>9</v>
      </c>
      <c r="E108" s="64" t="n">
        <f aca="false">SUM(E101:E107)</f>
        <v>43</v>
      </c>
      <c r="F108" s="64" t="n">
        <f aca="false">SUM(F101:F107)</f>
        <v>8</v>
      </c>
      <c r="G108" s="65" t="n">
        <f aca="false">IF(B108=0,0,C108/B108)</f>
        <v>0.447004608294931</v>
      </c>
    </row>
    <row r="111" customFormat="false" ht="21.75" hidden="false" customHeight="true" outlineLevel="0" collapsed="false">
      <c r="A111" s="44" t="s">
        <v>135</v>
      </c>
      <c r="B111" s="44"/>
      <c r="C111" s="1"/>
      <c r="D111" s="1"/>
      <c r="E111" s="1"/>
      <c r="F111" s="1"/>
      <c r="G111" s="1"/>
      <c r="H111" s="1"/>
      <c r="I111" s="1"/>
      <c r="J111" s="1"/>
      <c r="K111" s="1"/>
    </row>
    <row r="113" customFormat="false" ht="15" hidden="false" customHeight="false" outlineLevel="0" collapsed="false">
      <c r="A113" s="46" t="s">
        <v>136</v>
      </c>
      <c r="B113" s="47" t="n">
        <f aca="false">B108</f>
        <v>217</v>
      </c>
    </row>
    <row r="114" customFormat="false" ht="15" hidden="false" customHeight="false" outlineLevel="0" collapsed="false">
      <c r="A114" s="48" t="s">
        <v>137</v>
      </c>
      <c r="B114" s="49" t="n">
        <f aca="false">C108</f>
        <v>97</v>
      </c>
    </row>
    <row r="115" customFormat="false" ht="15" hidden="false" customHeight="false" outlineLevel="0" collapsed="false">
      <c r="A115" s="46" t="s">
        <v>138</v>
      </c>
      <c r="B115" s="47" t="n">
        <f aca="false">D108</f>
        <v>9</v>
      </c>
    </row>
    <row r="116" customFormat="false" ht="15" hidden="false" customHeight="false" outlineLevel="0" collapsed="false">
      <c r="A116" s="48" t="s">
        <v>139</v>
      </c>
      <c r="B116" s="49" t="n">
        <f aca="false">E108</f>
        <v>43</v>
      </c>
    </row>
    <row r="117" customFormat="false" ht="15" hidden="false" customHeight="false" outlineLevel="0" collapsed="false">
      <c r="A117" s="46" t="s">
        <v>140</v>
      </c>
      <c r="B117" s="50" t="n">
        <f aca="false">IF(B113=0,0,B114/B113)</f>
        <v>0.447004608294931</v>
      </c>
    </row>
    <row r="118" customFormat="false" ht="15" hidden="false" customHeight="false" outlineLevel="0" collapsed="false">
      <c r="A118" s="48" t="s">
        <v>141</v>
      </c>
      <c r="B118" s="53" t="n">
        <f aca="false">IF(B113=0,0,(B114+B115)/B113)</f>
        <v>0.488479262672811</v>
      </c>
    </row>
  </sheetData>
  <mergeCells count="7">
    <mergeCell ref="A1:C1"/>
    <mergeCell ref="A17:K17"/>
    <mergeCell ref="A29:K29"/>
    <mergeCell ref="A36:K36"/>
    <mergeCell ref="A51:G51"/>
    <mergeCell ref="A98:G98"/>
    <mergeCell ref="A111:B1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3AA7"/>
    <pageSetUpPr fitToPage="true"/>
  </sheetPr>
  <dimension ref="A1:Q2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6"/>
    <col collapsed="false" customWidth="true" hidden="false" outlineLevel="0" max="4" min="4" style="0" width="18"/>
    <col collapsed="false" customWidth="true" hidden="false" outlineLevel="0" max="5" min="5" style="0" width="20"/>
    <col collapsed="false" customWidth="true" hidden="false" outlineLevel="0" max="6" min="6" style="0" width="30"/>
    <col collapsed="false" customWidth="true" hidden="false" outlineLevel="0" max="7" min="7" style="0" width="24"/>
    <col collapsed="false" customWidth="true" hidden="false" outlineLevel="0" max="8" min="8" style="0" width="28"/>
    <col collapsed="false" customWidth="true" hidden="false" outlineLevel="0" max="9" min="9" style="0" width="22"/>
    <col collapsed="false" customWidth="true" hidden="false" outlineLevel="0" max="10" min="10" style="0" width="20"/>
    <col collapsed="false" customWidth="true" hidden="false" outlineLevel="0" max="11" min="11" style="0" width="12"/>
    <col collapsed="false" customWidth="true" hidden="false" outlineLevel="0" max="12" min="12" style="0" width="14"/>
    <col collapsed="false" customWidth="true" hidden="false" outlineLevel="0" max="16" min="13" style="0" width="13"/>
    <col collapsed="false" customWidth="true" hidden="false" outlineLevel="0" max="17" min="17" style="0" width="16"/>
  </cols>
  <sheetData>
    <row r="1" customFormat="false" ht="30" hidden="false" customHeight="true" outlineLevel="0" collapsed="false">
      <c r="A1" s="66" t="s">
        <v>142</v>
      </c>
      <c r="B1" s="66" t="s">
        <v>47</v>
      </c>
      <c r="C1" s="66" t="s">
        <v>143</v>
      </c>
      <c r="D1" s="66" t="s">
        <v>73</v>
      </c>
      <c r="E1" s="66" t="s">
        <v>144</v>
      </c>
      <c r="F1" s="66" t="s">
        <v>145</v>
      </c>
      <c r="G1" s="66" t="s">
        <v>146</v>
      </c>
      <c r="H1" s="66" t="s">
        <v>147</v>
      </c>
      <c r="I1" s="66" t="s">
        <v>148</v>
      </c>
      <c r="J1" s="66" t="s">
        <v>149</v>
      </c>
      <c r="K1" s="66" t="s">
        <v>68</v>
      </c>
      <c r="L1" s="66" t="s">
        <v>150</v>
      </c>
      <c r="M1" s="66" t="s">
        <v>151</v>
      </c>
      <c r="N1" s="66" t="s">
        <v>152</v>
      </c>
      <c r="O1" s="66" t="s">
        <v>153</v>
      </c>
      <c r="P1" s="66" t="s">
        <v>154</v>
      </c>
      <c r="Q1" s="66" t="s">
        <v>155</v>
      </c>
    </row>
    <row r="2" customFormat="false" ht="57.45" hidden="false" customHeight="false" outlineLevel="0" collapsed="false">
      <c r="A2" s="67"/>
      <c r="B2" s="68" t="s">
        <v>60</v>
      </c>
      <c r="C2" s="67" t="s">
        <v>156</v>
      </c>
      <c r="D2" s="68" t="s">
        <v>74</v>
      </c>
      <c r="E2" s="69" t="s">
        <v>157</v>
      </c>
      <c r="F2" s="69" t="s">
        <v>158</v>
      </c>
      <c r="G2" s="67" t="s">
        <v>87</v>
      </c>
      <c r="H2" s="70" t="s">
        <v>159</v>
      </c>
      <c r="I2" s="69" t="s">
        <v>160</v>
      </c>
      <c r="J2" s="69" t="s">
        <v>161</v>
      </c>
      <c r="K2" s="67" t="s">
        <v>70</v>
      </c>
      <c r="L2" s="67"/>
      <c r="M2" s="71" t="n">
        <v>46023</v>
      </c>
      <c r="N2" s="71" t="n">
        <v>46023</v>
      </c>
      <c r="O2" s="71" t="n">
        <v>46053</v>
      </c>
      <c r="P2" s="71" t="n">
        <v>46053</v>
      </c>
      <c r="Q2" s="72" t="str">
        <f aca="false">IF(AND(M2="",N2="",O2="",P2=""),"COMPLETAR",IF(P2&lt;&gt;"",IF(O2="","Finalizado",IF(P2&lt;O2,"Finalizado anticipado",IF(P2=O2,"Finalizado","Finalizado con desfase"))),IF(N2&lt;&gt;"",IF(O2="","No planificado",IF(O2&lt;='Tablas y Glosario'!$F$1,"Atrasado",IF(M2="","En curso",IF(N2&gt;M2,"Inicio retrasado",IF(N2&lt;M2,"Inicio anticipado","En curso"))))),IF(M2="","COMPLETAR",IF('Tablas y Glosario'!$F$1&gt;=M2,"No iniciado","Programado")))))</f>
        <v>Finalizado</v>
      </c>
    </row>
    <row r="3" customFormat="false" ht="57.45" hidden="false" customHeight="false" outlineLevel="0" collapsed="false">
      <c r="A3" s="61"/>
      <c r="B3" s="60" t="s">
        <v>60</v>
      </c>
      <c r="C3" s="61" t="s">
        <v>156</v>
      </c>
      <c r="D3" s="60" t="s">
        <v>74</v>
      </c>
      <c r="E3" s="73" t="s">
        <v>157</v>
      </c>
      <c r="F3" s="73" t="s">
        <v>158</v>
      </c>
      <c r="G3" s="61" t="s">
        <v>88</v>
      </c>
      <c r="H3" s="74" t="s">
        <v>162</v>
      </c>
      <c r="I3" s="73" t="s">
        <v>163</v>
      </c>
      <c r="J3" s="73" t="s">
        <v>164</v>
      </c>
      <c r="K3" s="61" t="s">
        <v>70</v>
      </c>
      <c r="L3" s="61"/>
      <c r="M3" s="75" t="n">
        <v>46023</v>
      </c>
      <c r="N3" s="75" t="n">
        <v>46023</v>
      </c>
      <c r="O3" s="75" t="n">
        <v>46053</v>
      </c>
      <c r="P3" s="75" t="n">
        <v>46053</v>
      </c>
      <c r="Q3" s="76" t="str">
        <f aca="false">IF(AND(M3="",N3="",O3="",P3=""),"COMPLETAR",IF(P3&lt;&gt;"",IF(O3="","Finalizado",IF(P3&lt;O3,"Finalizado anticipado",IF(P3=O3,"Finalizado","Finalizado con desfase"))),IF(N3&lt;&gt;"",IF(O3="","No planificado",IF(O3&lt;='Tablas y Glosario'!$F$1,"Atrasado",IF(M3="","En curso",IF(N3&gt;M3,"Inicio retrasado",IF(N3&lt;M3,"Inicio anticipado","En curso"))))),IF(M3="","COMPLETAR",IF('Tablas y Glosario'!$F$1&gt;=M3,"No iniciado","Programado")))))</f>
        <v>Finalizado</v>
      </c>
    </row>
    <row r="4" customFormat="false" ht="57.45" hidden="false" customHeight="false" outlineLevel="0" collapsed="false">
      <c r="A4" s="67"/>
      <c r="B4" s="68" t="s">
        <v>60</v>
      </c>
      <c r="C4" s="67" t="s">
        <v>156</v>
      </c>
      <c r="D4" s="68" t="s">
        <v>74</v>
      </c>
      <c r="E4" s="69" t="s">
        <v>157</v>
      </c>
      <c r="F4" s="69" t="s">
        <v>158</v>
      </c>
      <c r="G4" s="67" t="s">
        <v>89</v>
      </c>
      <c r="H4" s="70" t="s">
        <v>165</v>
      </c>
      <c r="I4" s="69" t="s">
        <v>166</v>
      </c>
      <c r="J4" s="69" t="s">
        <v>167</v>
      </c>
      <c r="K4" s="67" t="s">
        <v>70</v>
      </c>
      <c r="L4" s="67"/>
      <c r="M4" s="71" t="n">
        <v>46023</v>
      </c>
      <c r="N4" s="71" t="n">
        <v>46023</v>
      </c>
      <c r="O4" s="71" t="n">
        <v>46053</v>
      </c>
      <c r="P4" s="71" t="n">
        <v>46053</v>
      </c>
      <c r="Q4" s="72" t="str">
        <f aca="false">IF(AND(M4="",N4="",O4="",P4=""),"COMPLETAR",IF(P4&lt;&gt;"",IF(O4="","Finalizado",IF(P4&lt;O4,"Finalizado anticipado",IF(P4=O4,"Finalizado","Finalizado con desfase"))),IF(N4&lt;&gt;"",IF(O4="","No planificado",IF(O4&lt;='Tablas y Glosario'!$F$1,"Atrasado",IF(M4="","En curso",IF(N4&gt;M4,"Inicio retrasado",IF(N4&lt;M4,"Inicio anticipado","En curso"))))),IF(M4="","COMPLETAR",IF('Tablas y Glosario'!$F$1&gt;=M4,"No iniciado","Programado")))))</f>
        <v>Finalizado</v>
      </c>
    </row>
    <row r="5" customFormat="false" ht="57.45" hidden="false" customHeight="false" outlineLevel="0" collapsed="false">
      <c r="A5" s="61"/>
      <c r="B5" s="60" t="s">
        <v>60</v>
      </c>
      <c r="C5" s="61" t="s">
        <v>156</v>
      </c>
      <c r="D5" s="60" t="s">
        <v>74</v>
      </c>
      <c r="E5" s="73" t="s">
        <v>157</v>
      </c>
      <c r="F5" s="73" t="s">
        <v>158</v>
      </c>
      <c r="G5" s="61" t="s">
        <v>90</v>
      </c>
      <c r="H5" s="74" t="s">
        <v>168</v>
      </c>
      <c r="I5" s="73" t="s">
        <v>169</v>
      </c>
      <c r="J5" s="73" t="s">
        <v>170</v>
      </c>
      <c r="K5" s="61" t="s">
        <v>70</v>
      </c>
      <c r="L5" s="61"/>
      <c r="M5" s="75" t="n">
        <v>46023</v>
      </c>
      <c r="N5" s="75" t="n">
        <v>46023</v>
      </c>
      <c r="O5" s="75" t="n">
        <v>46053</v>
      </c>
      <c r="P5" s="75" t="n">
        <v>46053</v>
      </c>
      <c r="Q5" s="76" t="str">
        <f aca="false">IF(AND(M5="",N5="",O5="",P5=""),"COMPLETAR",IF(P5&lt;&gt;"",IF(O5="","Finalizado",IF(P5&lt;O5,"Finalizado anticipado",IF(P5=O5,"Finalizado","Finalizado con desfase"))),IF(N5&lt;&gt;"",IF(O5="","No planificado",IF(O5&lt;='Tablas y Glosario'!$F$1,"Atrasado",IF(M5="","En curso",IF(N5&gt;M5,"Inicio retrasado",IF(N5&lt;M5,"Inicio anticipado","En curso"))))),IF(M5="","COMPLETAR",IF('Tablas y Glosario'!$F$1&gt;=M5,"No iniciado","Programado")))))</f>
        <v>Finalizado</v>
      </c>
    </row>
    <row r="6" customFormat="false" ht="46.25" hidden="false" customHeight="false" outlineLevel="0" collapsed="false">
      <c r="A6" s="67"/>
      <c r="B6" s="68" t="s">
        <v>60</v>
      </c>
      <c r="C6" s="67" t="s">
        <v>156</v>
      </c>
      <c r="D6" s="68" t="s">
        <v>75</v>
      </c>
      <c r="E6" s="69" t="s">
        <v>171</v>
      </c>
      <c r="F6" s="69" t="s">
        <v>172</v>
      </c>
      <c r="G6" s="67" t="s">
        <v>91</v>
      </c>
      <c r="H6" s="70" t="s">
        <v>173</v>
      </c>
      <c r="I6" s="69" t="s">
        <v>174</v>
      </c>
      <c r="J6" s="69" t="s">
        <v>175</v>
      </c>
      <c r="K6" s="67" t="s">
        <v>70</v>
      </c>
      <c r="L6" s="67"/>
      <c r="M6" s="71" t="n">
        <v>46023</v>
      </c>
      <c r="N6" s="71" t="n">
        <v>46023</v>
      </c>
      <c r="O6" s="71" t="n">
        <v>46053</v>
      </c>
      <c r="P6" s="71" t="n">
        <v>46053</v>
      </c>
      <c r="Q6" s="72" t="str">
        <f aca="false">IF(AND(M6="",N6="",O6="",P6=""),"COMPLETAR",IF(P6&lt;&gt;"",IF(O6="","Finalizado",IF(P6&lt;O6,"Finalizado anticipado",IF(P6=O6,"Finalizado","Finalizado con desfase"))),IF(N6&lt;&gt;"",IF(O6="","No planificado",IF(O6&lt;='Tablas y Glosario'!$F$1,"Atrasado",IF(M6="","En curso",IF(N6&gt;M6,"Inicio retrasado",IF(N6&lt;M6,"Inicio anticipado","En curso"))))),IF(M6="","COMPLETAR",IF('Tablas y Glosario'!$F$1&gt;=M6,"No iniciado","Programado")))))</f>
        <v>Finalizado</v>
      </c>
    </row>
    <row r="7" customFormat="false" ht="46.25" hidden="false" customHeight="false" outlineLevel="0" collapsed="false">
      <c r="A7" s="61"/>
      <c r="B7" s="60" t="s">
        <v>60</v>
      </c>
      <c r="C7" s="61" t="s">
        <v>156</v>
      </c>
      <c r="D7" s="60" t="s">
        <v>75</v>
      </c>
      <c r="E7" s="73" t="s">
        <v>171</v>
      </c>
      <c r="F7" s="73" t="s">
        <v>176</v>
      </c>
      <c r="G7" s="61" t="s">
        <v>92</v>
      </c>
      <c r="H7" s="74" t="s">
        <v>177</v>
      </c>
      <c r="I7" s="73" t="s">
        <v>178</v>
      </c>
      <c r="J7" s="73" t="s">
        <v>175</v>
      </c>
      <c r="K7" s="61" t="s">
        <v>70</v>
      </c>
      <c r="L7" s="61"/>
      <c r="M7" s="75" t="n">
        <v>46023</v>
      </c>
      <c r="N7" s="75" t="n">
        <v>46023</v>
      </c>
      <c r="O7" s="75" t="n">
        <v>46053</v>
      </c>
      <c r="P7" s="75" t="n">
        <v>46053</v>
      </c>
      <c r="Q7" s="76" t="str">
        <f aca="false">IF(AND(M7="",N7="",O7="",P7=""),"COMPLETAR",IF(P7&lt;&gt;"",IF(O7="","Finalizado",IF(P7&lt;O7,"Finalizado anticipado",IF(P7=O7,"Finalizado","Finalizado con desfase"))),IF(N7&lt;&gt;"",IF(O7="","No planificado",IF(O7&lt;='Tablas y Glosario'!$F$1,"Atrasado",IF(M7="","En curso",IF(N7&gt;M7,"Inicio retrasado",IF(N7&lt;M7,"Inicio anticipado","En curso"))))),IF(M7="","COMPLETAR",IF('Tablas y Glosario'!$F$1&gt;=M7,"No iniciado","Programado")))))</f>
        <v>Finalizado</v>
      </c>
    </row>
    <row r="8" customFormat="false" ht="46.25" hidden="false" customHeight="false" outlineLevel="0" collapsed="false">
      <c r="A8" s="67"/>
      <c r="B8" s="68" t="s">
        <v>60</v>
      </c>
      <c r="C8" s="67" t="s">
        <v>156</v>
      </c>
      <c r="D8" s="68" t="s">
        <v>75</v>
      </c>
      <c r="E8" s="69" t="s">
        <v>171</v>
      </c>
      <c r="F8" s="69" t="s">
        <v>176</v>
      </c>
      <c r="G8" s="67" t="s">
        <v>93</v>
      </c>
      <c r="H8" s="70" t="s">
        <v>179</v>
      </c>
      <c r="I8" s="69" t="s">
        <v>180</v>
      </c>
      <c r="J8" s="69" t="s">
        <v>181</v>
      </c>
      <c r="K8" s="67" t="s">
        <v>70</v>
      </c>
      <c r="L8" s="67"/>
      <c r="M8" s="71" t="n">
        <v>46023</v>
      </c>
      <c r="N8" s="71" t="n">
        <v>46023</v>
      </c>
      <c r="O8" s="71" t="n">
        <v>46053</v>
      </c>
      <c r="P8" s="71" t="n">
        <v>46053</v>
      </c>
      <c r="Q8" s="72" t="str">
        <f aca="false">IF(AND(M8="",N8="",O8="",P8=""),"COMPLETAR",IF(P8&lt;&gt;"",IF(O8="","Finalizado",IF(P8&lt;O8,"Finalizado anticipado",IF(P8=O8,"Finalizado","Finalizado con desfase"))),IF(N8&lt;&gt;"",IF(O8="","No planificado",IF(O8&lt;='Tablas y Glosario'!$F$1,"Atrasado",IF(M8="","En curso",IF(N8&gt;M8,"Inicio retrasado",IF(N8&lt;M8,"Inicio anticipado","En curso"))))),IF(M8="","COMPLETAR",IF('Tablas y Glosario'!$F$1&gt;=M8,"No iniciado","Programado")))))</f>
        <v>Finalizado</v>
      </c>
    </row>
    <row r="9" customFormat="false" ht="46.25" hidden="false" customHeight="false" outlineLevel="0" collapsed="false">
      <c r="A9" s="61"/>
      <c r="B9" s="60" t="s">
        <v>60</v>
      </c>
      <c r="C9" s="61" t="s">
        <v>156</v>
      </c>
      <c r="D9" s="60" t="s">
        <v>75</v>
      </c>
      <c r="E9" s="73" t="s">
        <v>171</v>
      </c>
      <c r="F9" s="73" t="s">
        <v>176</v>
      </c>
      <c r="G9" s="61" t="s">
        <v>94</v>
      </c>
      <c r="H9" s="74" t="s">
        <v>182</v>
      </c>
      <c r="I9" s="73" t="s">
        <v>183</v>
      </c>
      <c r="J9" s="73" t="s">
        <v>184</v>
      </c>
      <c r="K9" s="61" t="s">
        <v>70</v>
      </c>
      <c r="L9" s="61"/>
      <c r="M9" s="75" t="n">
        <v>46023</v>
      </c>
      <c r="N9" s="75" t="n">
        <v>46023</v>
      </c>
      <c r="O9" s="75" t="n">
        <v>46053</v>
      </c>
      <c r="P9" s="75" t="n">
        <v>46053</v>
      </c>
      <c r="Q9" s="76" t="str">
        <f aca="false">IF(AND(M9="",N9="",O9="",P9=""),"COMPLETAR",IF(P9&lt;&gt;"",IF(O9="","Finalizado",IF(P9&lt;O9,"Finalizado anticipado",IF(P9=O9,"Finalizado","Finalizado con desfase"))),IF(N9&lt;&gt;"",IF(O9="","No planificado",IF(O9&lt;='Tablas y Glosario'!$F$1,"Atrasado",IF(M9="","En curso",IF(N9&gt;M9,"Inicio retrasado",IF(N9&lt;M9,"Inicio anticipado","En curso"))))),IF(M9="","COMPLETAR",IF('Tablas y Glosario'!$F$1&gt;=M9,"No iniciado","Programado")))))</f>
        <v>Finalizado</v>
      </c>
    </row>
    <row r="10" customFormat="false" ht="46.25" hidden="false" customHeight="false" outlineLevel="0" collapsed="false">
      <c r="A10" s="67"/>
      <c r="B10" s="68" t="s">
        <v>60</v>
      </c>
      <c r="C10" s="67" t="s">
        <v>156</v>
      </c>
      <c r="D10" s="68" t="s">
        <v>75</v>
      </c>
      <c r="E10" s="69" t="s">
        <v>171</v>
      </c>
      <c r="F10" s="69" t="s">
        <v>176</v>
      </c>
      <c r="G10" s="67" t="s">
        <v>95</v>
      </c>
      <c r="H10" s="70" t="s">
        <v>185</v>
      </c>
      <c r="I10" s="69" t="s">
        <v>186</v>
      </c>
      <c r="J10" s="69" t="s">
        <v>187</v>
      </c>
      <c r="K10" s="67" t="s">
        <v>70</v>
      </c>
      <c r="L10" s="67"/>
      <c r="M10" s="71" t="n">
        <v>46023</v>
      </c>
      <c r="N10" s="71" t="n">
        <v>46023</v>
      </c>
      <c r="O10" s="71" t="n">
        <v>46053</v>
      </c>
      <c r="P10" s="71" t="n">
        <v>46053</v>
      </c>
      <c r="Q10" s="72" t="str">
        <f aca="false">IF(AND(M10="",N10="",O10="",P10=""),"COMPLETAR",IF(P10&lt;&gt;"",IF(O10="","Finalizado",IF(P10&lt;O10,"Finalizado anticipado",IF(P10=O10,"Finalizado","Finalizado con desfase"))),IF(N10&lt;&gt;"",IF(O10="","No planificado",IF(O10&lt;='Tablas y Glosario'!$F$1,"Atrasado",IF(M10="","En curso",IF(N10&gt;M10,"Inicio retrasado",IF(N10&lt;M10,"Inicio anticipado","En curso"))))),IF(M10="","COMPLETAR",IF('Tablas y Glosario'!$F$1&gt;=M10,"No iniciado","Programado")))))</f>
        <v>Finalizado</v>
      </c>
    </row>
    <row r="11" customFormat="false" ht="35.05" hidden="false" customHeight="false" outlineLevel="0" collapsed="false">
      <c r="A11" s="61"/>
      <c r="B11" s="60" t="s">
        <v>60</v>
      </c>
      <c r="C11" s="61" t="s">
        <v>156</v>
      </c>
      <c r="D11" s="60" t="s">
        <v>76</v>
      </c>
      <c r="E11" s="73" t="s">
        <v>188</v>
      </c>
      <c r="F11" s="73" t="s">
        <v>189</v>
      </c>
      <c r="G11" s="61" t="s">
        <v>96</v>
      </c>
      <c r="H11" s="74" t="s">
        <v>190</v>
      </c>
      <c r="I11" s="73" t="s">
        <v>191</v>
      </c>
      <c r="J11" s="73" t="s">
        <v>192</v>
      </c>
      <c r="K11" s="61" t="s">
        <v>71</v>
      </c>
      <c r="L11" s="61"/>
      <c r="M11" s="75" t="n">
        <v>46023</v>
      </c>
      <c r="N11" s="75" t="n">
        <v>46023</v>
      </c>
      <c r="O11" s="75" t="n">
        <v>46053</v>
      </c>
      <c r="P11" s="75" t="n">
        <v>46053</v>
      </c>
      <c r="Q11" s="76" t="str">
        <f aca="false">IF(AND(M11="",N11="",O11="",P11=""),"COMPLETAR",IF(P11&lt;&gt;"",IF(O11="","Finalizado",IF(P11&lt;O11,"Finalizado anticipado",IF(P11=O11,"Finalizado","Finalizado con desfase"))),IF(N11&lt;&gt;"",IF(O11="","No planificado",IF(O11&lt;='Tablas y Glosario'!$F$1,"Atrasado",IF(M11="","En curso",IF(N11&gt;M11,"Inicio retrasado",IF(N11&lt;M11,"Inicio anticipado","En curso"))))),IF(M11="","COMPLETAR",IF('Tablas y Glosario'!$F$1&gt;=M11,"No iniciado","Programado")))))</f>
        <v>Finalizado</v>
      </c>
    </row>
    <row r="12" customFormat="false" ht="35.05" hidden="false" customHeight="false" outlineLevel="0" collapsed="false">
      <c r="A12" s="67"/>
      <c r="B12" s="68" t="s">
        <v>60</v>
      </c>
      <c r="C12" s="67" t="s">
        <v>156</v>
      </c>
      <c r="D12" s="68" t="s">
        <v>76</v>
      </c>
      <c r="E12" s="69" t="s">
        <v>188</v>
      </c>
      <c r="F12" s="69" t="s">
        <v>189</v>
      </c>
      <c r="G12" s="67" t="s">
        <v>97</v>
      </c>
      <c r="H12" s="70" t="s">
        <v>193</v>
      </c>
      <c r="I12" s="69" t="s">
        <v>110</v>
      </c>
      <c r="J12" s="69" t="s">
        <v>192</v>
      </c>
      <c r="K12" s="67" t="s">
        <v>70</v>
      </c>
      <c r="L12" s="67"/>
      <c r="M12" s="71" t="n">
        <v>46023</v>
      </c>
      <c r="N12" s="71" t="n">
        <v>46023</v>
      </c>
      <c r="O12" s="71" t="n">
        <v>46053</v>
      </c>
      <c r="P12" s="71" t="n">
        <v>46053</v>
      </c>
      <c r="Q12" s="72" t="str">
        <f aca="false">IF(AND(M12="",N12="",O12="",P12=""),"COMPLETAR",IF(P12&lt;&gt;"",IF(O12="","Finalizado",IF(P12&lt;O12,"Finalizado anticipado",IF(P12=O12,"Finalizado","Finalizado con desfase"))),IF(N12&lt;&gt;"",IF(O12="","No planificado",IF(O12&lt;='Tablas y Glosario'!$F$1,"Atrasado",IF(M12="","En curso",IF(N12&gt;M12,"Inicio retrasado",IF(N12&lt;M12,"Inicio anticipado","En curso"))))),IF(M12="","COMPLETAR",IF('Tablas y Glosario'!$F$1&gt;=M12,"No iniciado","Programado")))))</f>
        <v>Finalizado</v>
      </c>
    </row>
    <row r="13" customFormat="false" ht="35.05" hidden="false" customHeight="false" outlineLevel="0" collapsed="false">
      <c r="A13" s="61"/>
      <c r="B13" s="60" t="s">
        <v>60</v>
      </c>
      <c r="C13" s="61" t="s">
        <v>156</v>
      </c>
      <c r="D13" s="60" t="s">
        <v>76</v>
      </c>
      <c r="E13" s="73" t="s">
        <v>188</v>
      </c>
      <c r="F13" s="73" t="s">
        <v>189</v>
      </c>
      <c r="G13" s="61" t="s">
        <v>98</v>
      </c>
      <c r="H13" s="74" t="s">
        <v>194</v>
      </c>
      <c r="I13" s="73" t="s">
        <v>195</v>
      </c>
      <c r="J13" s="73" t="s">
        <v>196</v>
      </c>
      <c r="K13" s="61" t="s">
        <v>71</v>
      </c>
      <c r="L13" s="61"/>
      <c r="M13" s="75" t="n">
        <v>46023</v>
      </c>
      <c r="N13" s="75" t="n">
        <v>46023</v>
      </c>
      <c r="O13" s="75" t="n">
        <v>46053</v>
      </c>
      <c r="P13" s="75" t="n">
        <v>46053</v>
      </c>
      <c r="Q13" s="76" t="str">
        <f aca="false">IF(AND(M13="",N13="",O13="",P13=""),"COMPLETAR",IF(P13&lt;&gt;"",IF(O13="","Finalizado",IF(P13&lt;O13,"Finalizado anticipado",IF(P13=O13,"Finalizado","Finalizado con desfase"))),IF(N13&lt;&gt;"",IF(O13="","No planificado",IF(O13&lt;='Tablas y Glosario'!$F$1,"Atrasado",IF(M13="","En curso",IF(N13&gt;M13,"Inicio retrasado",IF(N13&lt;M13,"Inicio anticipado","En curso"))))),IF(M13="","COMPLETAR",IF('Tablas y Glosario'!$F$1&gt;=M13,"No iniciado","Programado")))))</f>
        <v>Finalizado</v>
      </c>
    </row>
    <row r="14" customFormat="false" ht="35.05" hidden="false" customHeight="false" outlineLevel="0" collapsed="false">
      <c r="A14" s="67"/>
      <c r="B14" s="68" t="s">
        <v>60</v>
      </c>
      <c r="C14" s="67" t="s">
        <v>156</v>
      </c>
      <c r="D14" s="68" t="s">
        <v>76</v>
      </c>
      <c r="E14" s="69" t="s">
        <v>188</v>
      </c>
      <c r="F14" s="69" t="s">
        <v>189</v>
      </c>
      <c r="G14" s="67" t="s">
        <v>99</v>
      </c>
      <c r="H14" s="70" t="s">
        <v>197</v>
      </c>
      <c r="I14" s="69" t="s">
        <v>110</v>
      </c>
      <c r="J14" s="69" t="s">
        <v>196</v>
      </c>
      <c r="K14" s="67" t="s">
        <v>70</v>
      </c>
      <c r="L14" s="67"/>
      <c r="M14" s="71" t="n">
        <v>46023</v>
      </c>
      <c r="N14" s="71" t="n">
        <v>46023</v>
      </c>
      <c r="O14" s="71" t="n">
        <v>46053</v>
      </c>
      <c r="P14" s="71" t="n">
        <v>46053</v>
      </c>
      <c r="Q14" s="72" t="str">
        <f aca="false">IF(AND(M14="",N14="",O14="",P14=""),"COMPLETAR",IF(P14&lt;&gt;"",IF(O14="","Finalizado",IF(P14&lt;O14,"Finalizado anticipado",IF(P14=O14,"Finalizado","Finalizado con desfase"))),IF(N14&lt;&gt;"",IF(O14="","No planificado",IF(O14&lt;='Tablas y Glosario'!$F$1,"Atrasado",IF(M14="","En curso",IF(N14&gt;M14,"Inicio retrasado",IF(N14&lt;M14,"Inicio anticipado","En curso"))))),IF(M14="","COMPLETAR",IF('Tablas y Glosario'!$F$1&gt;=M14,"No iniciado","Programado")))))</f>
        <v>Finalizado</v>
      </c>
    </row>
    <row r="15" customFormat="false" ht="35.05" hidden="false" customHeight="false" outlineLevel="0" collapsed="false">
      <c r="A15" s="61"/>
      <c r="B15" s="60" t="s">
        <v>60</v>
      </c>
      <c r="C15" s="61" t="s">
        <v>156</v>
      </c>
      <c r="D15" s="60" t="s">
        <v>77</v>
      </c>
      <c r="E15" s="73" t="s">
        <v>198</v>
      </c>
      <c r="F15" s="73" t="s">
        <v>199</v>
      </c>
      <c r="G15" s="61" t="s">
        <v>100</v>
      </c>
      <c r="H15" s="74" t="s">
        <v>200</v>
      </c>
      <c r="I15" s="73" t="s">
        <v>201</v>
      </c>
      <c r="J15" s="73" t="s">
        <v>202</v>
      </c>
      <c r="K15" s="61" t="s">
        <v>70</v>
      </c>
      <c r="L15" s="61"/>
      <c r="M15" s="75" t="n">
        <v>46023</v>
      </c>
      <c r="N15" s="75" t="n">
        <v>46023</v>
      </c>
      <c r="O15" s="75" t="n">
        <v>46053</v>
      </c>
      <c r="P15" s="75" t="n">
        <v>46053</v>
      </c>
      <c r="Q15" s="76" t="str">
        <f aca="false">IF(AND(M15="",N15="",O15="",P15=""),"COMPLETAR",IF(P15&lt;&gt;"",IF(O15="","Finalizado",IF(P15&lt;O15,"Finalizado anticipado",IF(P15=O15,"Finalizado","Finalizado con desfase"))),IF(N15&lt;&gt;"",IF(O15="","No planificado",IF(O15&lt;='Tablas y Glosario'!$F$1,"Atrasado",IF(M15="","En curso",IF(N15&gt;M15,"Inicio retrasado",IF(N15&lt;M15,"Inicio anticipado","En curso"))))),IF(M15="","COMPLETAR",IF('Tablas y Glosario'!$F$1&gt;=M15,"No iniciado","Programado")))))</f>
        <v>Finalizado</v>
      </c>
    </row>
    <row r="16" customFormat="false" ht="23.85" hidden="false" customHeight="false" outlineLevel="0" collapsed="false">
      <c r="A16" s="67"/>
      <c r="B16" s="68" t="s">
        <v>60</v>
      </c>
      <c r="C16" s="67" t="s">
        <v>156</v>
      </c>
      <c r="D16" s="68" t="s">
        <v>78</v>
      </c>
      <c r="E16" s="69" t="s">
        <v>203</v>
      </c>
      <c r="F16" s="69" t="s">
        <v>204</v>
      </c>
      <c r="G16" s="67" t="s">
        <v>101</v>
      </c>
      <c r="H16" s="70" t="s">
        <v>205</v>
      </c>
      <c r="I16" s="69" t="s">
        <v>206</v>
      </c>
      <c r="J16" s="69" t="s">
        <v>207</v>
      </c>
      <c r="K16" s="67" t="s">
        <v>71</v>
      </c>
      <c r="L16" s="67"/>
      <c r="M16" s="71" t="n">
        <v>46023</v>
      </c>
      <c r="N16" s="71" t="n">
        <v>46023</v>
      </c>
      <c r="O16" s="71" t="n">
        <v>46053</v>
      </c>
      <c r="P16" s="71" t="n">
        <v>46053</v>
      </c>
      <c r="Q16" s="72" t="str">
        <f aca="false">IF(AND(M16="",N16="",O16="",P16=""),"COMPLETAR",IF(P16&lt;&gt;"",IF(O16="","Finalizado",IF(P16&lt;O16,"Finalizado anticipado",IF(P16=O16,"Finalizado","Finalizado con desfase"))),IF(N16&lt;&gt;"",IF(O16="","No planificado",IF(O16&lt;='Tablas y Glosario'!$F$1,"Atrasado",IF(M16="","En curso",IF(N16&gt;M16,"Inicio retrasado",IF(N16&lt;M16,"Inicio anticipado","En curso"))))),IF(M16="","COMPLETAR",IF('Tablas y Glosario'!$F$1&gt;=M16,"No iniciado","Programado")))))</f>
        <v>Finalizado</v>
      </c>
    </row>
    <row r="17" customFormat="false" ht="23.85" hidden="false" customHeight="false" outlineLevel="0" collapsed="false">
      <c r="A17" s="61"/>
      <c r="B17" s="60" t="s">
        <v>60</v>
      </c>
      <c r="C17" s="61" t="s">
        <v>156</v>
      </c>
      <c r="D17" s="60" t="s">
        <v>78</v>
      </c>
      <c r="E17" s="73" t="s">
        <v>203</v>
      </c>
      <c r="F17" s="73" t="s">
        <v>204</v>
      </c>
      <c r="G17" s="61" t="s">
        <v>102</v>
      </c>
      <c r="H17" s="74" t="s">
        <v>208</v>
      </c>
      <c r="I17" s="73" t="s">
        <v>209</v>
      </c>
      <c r="J17" s="73" t="s">
        <v>210</v>
      </c>
      <c r="K17" s="61" t="s">
        <v>71</v>
      </c>
      <c r="L17" s="61"/>
      <c r="M17" s="75" t="n">
        <v>46023</v>
      </c>
      <c r="N17" s="75" t="n">
        <v>46023</v>
      </c>
      <c r="O17" s="75" t="n">
        <v>46053</v>
      </c>
      <c r="P17" s="75" t="n">
        <v>46053</v>
      </c>
      <c r="Q17" s="76" t="str">
        <f aca="false">IF(AND(M17="",N17="",O17="",P17=""),"COMPLETAR",IF(P17&lt;&gt;"",IF(O17="","Finalizado",IF(P17&lt;O17,"Finalizado anticipado",IF(P17=O17,"Finalizado","Finalizado con desfase"))),IF(N17&lt;&gt;"",IF(O17="","No planificado",IF(O17&lt;='Tablas y Glosario'!$F$1,"Atrasado",IF(M17="","En curso",IF(N17&gt;M17,"Inicio retrasado",IF(N17&lt;M17,"Inicio anticipado","En curso"))))),IF(M17="","COMPLETAR",IF('Tablas y Glosario'!$F$1&gt;=M17,"No iniciado","Programado")))))</f>
        <v>Finalizado</v>
      </c>
    </row>
    <row r="18" customFormat="false" ht="23.85" hidden="false" customHeight="false" outlineLevel="0" collapsed="false">
      <c r="A18" s="67"/>
      <c r="B18" s="68" t="s">
        <v>60</v>
      </c>
      <c r="C18" s="67" t="s">
        <v>156</v>
      </c>
      <c r="D18" s="68" t="s">
        <v>78</v>
      </c>
      <c r="E18" s="69" t="s">
        <v>203</v>
      </c>
      <c r="F18" s="69" t="s">
        <v>204</v>
      </c>
      <c r="G18" s="67" t="s">
        <v>103</v>
      </c>
      <c r="H18" s="70" t="s">
        <v>211</v>
      </c>
      <c r="I18" s="69" t="s">
        <v>212</v>
      </c>
      <c r="J18" s="69" t="s">
        <v>213</v>
      </c>
      <c r="K18" s="67" t="s">
        <v>71</v>
      </c>
      <c r="L18" s="67"/>
      <c r="M18" s="71" t="n">
        <v>46054</v>
      </c>
      <c r="N18" s="71" t="n">
        <v>46054</v>
      </c>
      <c r="O18" s="71" t="n">
        <v>46234</v>
      </c>
      <c r="P18" s="71"/>
      <c r="Q18" s="72" t="str">
        <f aca="false">IF(AND(M18="",N18="",O18="",P18=""),"COMPLETAR",IF(P18&lt;&gt;"",IF(O18="","Finalizado",IF(P18&lt;O18,"Finalizado anticipado",IF(P18=O18,"Finalizado","Finalizado con desfase"))),IF(N18&lt;&gt;"",IF(O18="","No planificado",IF(O18&lt;='Tablas y Glosario'!$F$1,"Atrasado",IF(M18="","En curso",IF(N18&gt;M18,"Inicio retrasado",IF(N18&lt;M18,"Inicio anticipado","En curso"))))),IF(M18="","COMPLETAR",IF('Tablas y Glosario'!$F$1&gt;=M18,"No iniciado","Programado")))))</f>
        <v>En curso</v>
      </c>
    </row>
    <row r="19" customFormat="false" ht="23.85" hidden="false" customHeight="false" outlineLevel="0" collapsed="false">
      <c r="A19" s="61"/>
      <c r="B19" s="60" t="s">
        <v>60</v>
      </c>
      <c r="C19" s="61" t="s">
        <v>156</v>
      </c>
      <c r="D19" s="60" t="s">
        <v>78</v>
      </c>
      <c r="E19" s="73" t="s">
        <v>203</v>
      </c>
      <c r="F19" s="73" t="s">
        <v>204</v>
      </c>
      <c r="G19" s="61" t="s">
        <v>104</v>
      </c>
      <c r="H19" s="74" t="s">
        <v>214</v>
      </c>
      <c r="I19" s="73" t="s">
        <v>215</v>
      </c>
      <c r="J19" s="73" t="s">
        <v>216</v>
      </c>
      <c r="K19" s="61" t="s">
        <v>71</v>
      </c>
      <c r="L19" s="61"/>
      <c r="M19" s="75" t="n">
        <v>46054</v>
      </c>
      <c r="N19" s="75" t="n">
        <v>46054</v>
      </c>
      <c r="O19" s="75" t="n">
        <v>46265</v>
      </c>
      <c r="P19" s="75"/>
      <c r="Q19" s="76" t="str">
        <f aca="false">IF(AND(M19="",N19="",O19="",P19=""),"COMPLETAR",IF(P19&lt;&gt;"",IF(O19="","Finalizado",IF(P19&lt;O19,"Finalizado anticipado",IF(P19=O19,"Finalizado","Finalizado con desfase"))),IF(N19&lt;&gt;"",IF(O19="","No planificado",IF(O19&lt;='Tablas y Glosario'!$F$1,"Atrasado",IF(M19="","En curso",IF(N19&gt;M19,"Inicio retrasado",IF(N19&lt;M19,"Inicio anticipado","En curso"))))),IF(M19="","COMPLETAR",IF('Tablas y Glosario'!$F$1&gt;=M19,"No iniciado","Programado")))))</f>
        <v>En curso</v>
      </c>
    </row>
    <row r="20" customFormat="false" ht="35.05" hidden="false" customHeight="false" outlineLevel="0" collapsed="false">
      <c r="A20" s="67"/>
      <c r="B20" s="68" t="s">
        <v>60</v>
      </c>
      <c r="C20" s="67" t="s">
        <v>156</v>
      </c>
      <c r="D20" s="68" t="s">
        <v>79</v>
      </c>
      <c r="E20" s="69" t="s">
        <v>217</v>
      </c>
      <c r="F20" s="69" t="s">
        <v>218</v>
      </c>
      <c r="G20" s="67" t="s">
        <v>105</v>
      </c>
      <c r="H20" s="70" t="s">
        <v>219</v>
      </c>
      <c r="I20" s="69" t="s">
        <v>220</v>
      </c>
      <c r="J20" s="69" t="s">
        <v>221</v>
      </c>
      <c r="K20" s="67" t="s">
        <v>70</v>
      </c>
      <c r="L20" s="67"/>
      <c r="M20" s="71" t="n">
        <v>46266</v>
      </c>
      <c r="N20" s="71"/>
      <c r="O20" s="71"/>
      <c r="P20" s="71"/>
      <c r="Q20" s="72" t="str">
        <f aca="false">IF(AND(M20="",N20="",O20="",P20=""),"COMPLETAR",IF(P20&lt;&gt;"",IF(O20="","Finalizado",IF(P20&lt;O20,"Finalizado anticipado",IF(P20=O20,"Finalizado","Finalizado con desfase"))),IF(N20&lt;&gt;"",IF(O20="","No planificado",IF(O20&lt;='Tablas y Glosario'!$F$1,"Atrasado",IF(M20="","En curso",IF(N20&gt;M20,"Inicio retrasado",IF(N20&lt;M20,"Inicio anticipado","En curso"))))),IF(M20="","COMPLETAR",IF('Tablas y Glosario'!$F$1&gt;=M20,"No iniciado","Programado")))))</f>
        <v>Programado</v>
      </c>
    </row>
    <row r="21" customFormat="false" ht="35.05" hidden="false" customHeight="false" outlineLevel="0" collapsed="false">
      <c r="A21" s="61"/>
      <c r="B21" s="60" t="s">
        <v>60</v>
      </c>
      <c r="C21" s="61" t="s">
        <v>156</v>
      </c>
      <c r="D21" s="60" t="s">
        <v>79</v>
      </c>
      <c r="E21" s="73" t="s">
        <v>217</v>
      </c>
      <c r="F21" s="73" t="s">
        <v>218</v>
      </c>
      <c r="G21" s="61" t="s">
        <v>106</v>
      </c>
      <c r="H21" s="74" t="s">
        <v>222</v>
      </c>
      <c r="I21" s="73" t="s">
        <v>223</v>
      </c>
      <c r="J21" s="73" t="s">
        <v>224</v>
      </c>
      <c r="K21" s="61" t="s">
        <v>70</v>
      </c>
      <c r="L21" s="61"/>
      <c r="M21" s="75" t="n">
        <v>46267</v>
      </c>
      <c r="N21" s="75"/>
      <c r="O21" s="75"/>
      <c r="P21" s="75"/>
      <c r="Q21" s="76" t="str">
        <f aca="false">IF(AND(M21="",N21="",O21="",P21=""),"COMPLETAR",IF(P21&lt;&gt;"",IF(O21="","Finalizado",IF(P21&lt;O21,"Finalizado anticipado",IF(P21=O21,"Finalizado","Finalizado con desfase"))),IF(N21&lt;&gt;"",IF(O21="","No planificado",IF(O21&lt;='Tablas y Glosario'!$F$1,"Atrasado",IF(M21="","En curso",IF(N21&gt;M21,"Inicio retrasado",IF(N21&lt;M21,"Inicio anticipado","En curso"))))),IF(M21="","COMPLETAR",IF('Tablas y Glosario'!$F$1&gt;=M21,"No iniciado","Programado")))))</f>
        <v>Programado</v>
      </c>
    </row>
    <row r="22" customFormat="false" ht="35.05" hidden="false" customHeight="false" outlineLevel="0" collapsed="false">
      <c r="A22" s="67"/>
      <c r="B22" s="68" t="s">
        <v>60</v>
      </c>
      <c r="C22" s="67" t="s">
        <v>156</v>
      </c>
      <c r="D22" s="68" t="s">
        <v>79</v>
      </c>
      <c r="E22" s="69" t="s">
        <v>217</v>
      </c>
      <c r="F22" s="69" t="s">
        <v>218</v>
      </c>
      <c r="G22" s="67" t="s">
        <v>107</v>
      </c>
      <c r="H22" s="70" t="s">
        <v>225</v>
      </c>
      <c r="I22" s="69" t="s">
        <v>226</v>
      </c>
      <c r="J22" s="69" t="s">
        <v>227</v>
      </c>
      <c r="K22" s="67" t="s">
        <v>71</v>
      </c>
      <c r="L22" s="67"/>
      <c r="M22" s="71" t="n">
        <v>46268</v>
      </c>
      <c r="N22" s="71"/>
      <c r="O22" s="71"/>
      <c r="P22" s="71"/>
      <c r="Q22" s="72" t="str">
        <f aca="false">IF(AND(M22="",N22="",O22="",P22=""),"COMPLETAR",IF(P22&lt;&gt;"",IF(O22="","Finalizado",IF(P22&lt;O22,"Finalizado anticipado",IF(P22=O22,"Finalizado","Finalizado con desfase"))),IF(N22&lt;&gt;"",IF(O22="","No planificado",IF(O22&lt;='Tablas y Glosario'!$F$1,"Atrasado",IF(M22="","En curso",IF(N22&gt;M22,"Inicio retrasado",IF(N22&lt;M22,"Inicio anticipado","En curso"))))),IF(M22="","COMPLETAR",IF('Tablas y Glosario'!$F$1&gt;=M22,"No iniciado","Programado")))))</f>
        <v>Programado</v>
      </c>
    </row>
    <row r="23" customFormat="false" ht="35.05" hidden="false" customHeight="false" outlineLevel="0" collapsed="false">
      <c r="A23" s="61"/>
      <c r="B23" s="60" t="s">
        <v>60</v>
      </c>
      <c r="C23" s="61" t="s">
        <v>156</v>
      </c>
      <c r="D23" s="60" t="s">
        <v>79</v>
      </c>
      <c r="E23" s="73" t="s">
        <v>217</v>
      </c>
      <c r="F23" s="73" t="s">
        <v>218</v>
      </c>
      <c r="G23" s="61" t="s">
        <v>108</v>
      </c>
      <c r="H23" s="74" t="s">
        <v>228</v>
      </c>
      <c r="I23" s="73" t="s">
        <v>229</v>
      </c>
      <c r="J23" s="73" t="s">
        <v>230</v>
      </c>
      <c r="K23" s="61" t="s">
        <v>71</v>
      </c>
      <c r="L23" s="61"/>
      <c r="M23" s="75" t="n">
        <v>46269</v>
      </c>
      <c r="N23" s="75"/>
      <c r="O23" s="75"/>
      <c r="P23" s="75"/>
      <c r="Q23" s="76" t="str">
        <f aca="false">IF(AND(M23="",N23="",O23="",P23=""),"COMPLETAR",IF(P23&lt;&gt;"",IF(O23="","Finalizado",IF(P23&lt;O23,"Finalizado anticipado",IF(P23=O23,"Finalizado","Finalizado con desfase"))),IF(N23&lt;&gt;"",IF(O23="","No planificado",IF(O23&lt;='Tablas y Glosario'!$F$1,"Atrasado",IF(M23="","En curso",IF(N23&gt;M23,"Inicio retrasado",IF(N23&lt;M23,"Inicio anticipado","En curso"))))),IF(M23="","COMPLETAR",IF('Tablas y Glosario'!$F$1&gt;=M23,"No iniciado","Programado")))))</f>
        <v>Programado</v>
      </c>
    </row>
    <row r="24" customFormat="false" ht="35.05" hidden="false" customHeight="false" outlineLevel="0" collapsed="false">
      <c r="A24" s="67"/>
      <c r="B24" s="68" t="s">
        <v>60</v>
      </c>
      <c r="C24" s="67" t="s">
        <v>156</v>
      </c>
      <c r="D24" s="68" t="s">
        <v>79</v>
      </c>
      <c r="E24" s="69" t="s">
        <v>217</v>
      </c>
      <c r="F24" s="69" t="s">
        <v>218</v>
      </c>
      <c r="G24" s="67" t="s">
        <v>109</v>
      </c>
      <c r="H24" s="70" t="s">
        <v>222</v>
      </c>
      <c r="I24" s="69" t="s">
        <v>231</v>
      </c>
      <c r="J24" s="69" t="s">
        <v>232</v>
      </c>
      <c r="K24" s="67" t="s">
        <v>70</v>
      </c>
      <c r="L24" s="67"/>
      <c r="M24" s="71" t="n">
        <v>46270</v>
      </c>
      <c r="N24" s="71"/>
      <c r="O24" s="71"/>
      <c r="P24" s="71"/>
      <c r="Q24" s="72" t="str">
        <f aca="false">IF(AND(M24="",N24="",O24="",P24=""),"COMPLETAR",IF(P24&lt;&gt;"",IF(O24="","Finalizado",IF(P24&lt;O24,"Finalizado anticipado",IF(P24=O24,"Finalizado","Finalizado con desfase"))),IF(N24&lt;&gt;"",IF(O24="","No planificado",IF(O24&lt;='Tablas y Glosario'!$F$1,"Atrasado",IF(M24="","En curso",IF(N24&gt;M24,"Inicio retrasado",IF(N24&lt;M24,"Inicio anticipado","En curso"))))),IF(M24="","COMPLETAR",IF('Tablas y Glosario'!$F$1&gt;=M24,"No iniciado","Programado")))))</f>
        <v>Programado</v>
      </c>
    </row>
    <row r="25" customFormat="false" ht="35.05" hidden="false" customHeight="false" outlineLevel="0" collapsed="false">
      <c r="A25" s="61"/>
      <c r="B25" s="60" t="s">
        <v>60</v>
      </c>
      <c r="C25" s="61" t="s">
        <v>156</v>
      </c>
      <c r="D25" s="60" t="s">
        <v>79</v>
      </c>
      <c r="E25" s="73" t="s">
        <v>217</v>
      </c>
      <c r="F25" s="73" t="s">
        <v>218</v>
      </c>
      <c r="G25" s="61" t="s">
        <v>110</v>
      </c>
      <c r="H25" s="74" t="s">
        <v>233</v>
      </c>
      <c r="I25" s="73" t="s">
        <v>234</v>
      </c>
      <c r="J25" s="73" t="s">
        <v>235</v>
      </c>
      <c r="K25" s="61" t="s">
        <v>70</v>
      </c>
      <c r="L25" s="61"/>
      <c r="M25" s="75" t="n">
        <v>46271</v>
      </c>
      <c r="N25" s="75"/>
      <c r="O25" s="75"/>
      <c r="P25" s="75"/>
      <c r="Q25" s="76" t="str">
        <f aca="false">IF(AND(M25="",N25="",O25="",P25=""),"COMPLETAR",IF(P25&lt;&gt;"",IF(O25="","Finalizado",IF(P25&lt;O25,"Finalizado anticipado",IF(P25=O25,"Finalizado","Finalizado con desfase"))),IF(N25&lt;&gt;"",IF(O25="","No planificado",IF(O25&lt;='Tablas y Glosario'!$F$1,"Atrasado",IF(M25="","En curso",IF(N25&gt;M25,"Inicio retrasado",IF(N25&lt;M25,"Inicio anticipado","En curso"))))),IF(M25="","COMPLETAR",IF('Tablas y Glosario'!$F$1&gt;=M25,"No iniciado","Programado")))))</f>
        <v>Programado</v>
      </c>
    </row>
    <row r="26" customFormat="false" ht="35.05" hidden="false" customHeight="false" outlineLevel="0" collapsed="false">
      <c r="A26" s="67"/>
      <c r="B26" s="68" t="s">
        <v>60</v>
      </c>
      <c r="C26" s="67" t="s">
        <v>156</v>
      </c>
      <c r="D26" s="68" t="s">
        <v>80</v>
      </c>
      <c r="E26" s="69" t="s">
        <v>236</v>
      </c>
      <c r="F26" s="69" t="s">
        <v>237</v>
      </c>
      <c r="G26" s="67" t="s">
        <v>111</v>
      </c>
      <c r="H26" s="70" t="s">
        <v>238</v>
      </c>
      <c r="I26" s="69" t="s">
        <v>239</v>
      </c>
      <c r="J26" s="69" t="s">
        <v>240</v>
      </c>
      <c r="K26" s="67" t="s">
        <v>70</v>
      </c>
      <c r="L26" s="67"/>
      <c r="M26" s="71" t="n">
        <v>46272</v>
      </c>
      <c r="N26" s="71"/>
      <c r="O26" s="71"/>
      <c r="P26" s="71"/>
      <c r="Q26" s="72" t="str">
        <f aca="false">IF(AND(M26="",N26="",O26="",P26=""),"COMPLETAR",IF(P26&lt;&gt;"",IF(O26="","Finalizado",IF(P26&lt;O26,"Finalizado anticipado",IF(P26=O26,"Finalizado","Finalizado con desfase"))),IF(N26&lt;&gt;"",IF(O26="","No planificado",IF(O26&lt;='Tablas y Glosario'!$F$1,"Atrasado",IF(M26="","En curso",IF(N26&gt;M26,"Inicio retrasado",IF(N26&lt;M26,"Inicio anticipado","En curso"))))),IF(M26="","COMPLETAR",IF('Tablas y Glosario'!$F$1&gt;=M26,"No iniciado","Programado")))))</f>
        <v>Programado</v>
      </c>
    </row>
    <row r="27" customFormat="false" ht="35.05" hidden="false" customHeight="false" outlineLevel="0" collapsed="false">
      <c r="A27" s="61"/>
      <c r="B27" s="60" t="s">
        <v>60</v>
      </c>
      <c r="C27" s="61" t="s">
        <v>156</v>
      </c>
      <c r="D27" s="60" t="s">
        <v>80</v>
      </c>
      <c r="E27" s="73" t="s">
        <v>236</v>
      </c>
      <c r="F27" s="73" t="s">
        <v>237</v>
      </c>
      <c r="G27" s="61" t="s">
        <v>112</v>
      </c>
      <c r="H27" s="74" t="s">
        <v>241</v>
      </c>
      <c r="I27" s="73" t="s">
        <v>242</v>
      </c>
      <c r="J27" s="73" t="s">
        <v>243</v>
      </c>
      <c r="K27" s="61" t="s">
        <v>71</v>
      </c>
      <c r="L27" s="61"/>
      <c r="M27" s="75" t="n">
        <v>46273</v>
      </c>
      <c r="N27" s="75"/>
      <c r="O27" s="75"/>
      <c r="P27" s="75"/>
      <c r="Q27" s="76" t="str">
        <f aca="false">IF(AND(M27="",N27="",O27="",P27=""),"COMPLETAR",IF(P27&lt;&gt;"",IF(O27="","Finalizado",IF(P27&lt;O27,"Finalizado anticipado",IF(P27=O27,"Finalizado","Finalizado con desfase"))),IF(N27&lt;&gt;"",IF(O27="","No planificado",IF(O27&lt;='Tablas y Glosario'!$F$1,"Atrasado",IF(M27="","En curso",IF(N27&gt;M27,"Inicio retrasado",IF(N27&lt;M27,"Inicio anticipado","En curso"))))),IF(M27="","COMPLETAR",IF('Tablas y Glosario'!$F$1&gt;=M27,"No iniciado","Programado")))))</f>
        <v>Programado</v>
      </c>
    </row>
    <row r="28" customFormat="false" ht="35.05" hidden="false" customHeight="false" outlineLevel="0" collapsed="false">
      <c r="A28" s="67"/>
      <c r="B28" s="68" t="s">
        <v>60</v>
      </c>
      <c r="C28" s="67" t="s">
        <v>156</v>
      </c>
      <c r="D28" s="68" t="s">
        <v>80</v>
      </c>
      <c r="E28" s="69" t="s">
        <v>236</v>
      </c>
      <c r="F28" s="69" t="s">
        <v>237</v>
      </c>
      <c r="G28" s="67" t="s">
        <v>113</v>
      </c>
      <c r="H28" s="70" t="s">
        <v>244</v>
      </c>
      <c r="I28" s="69" t="s">
        <v>245</v>
      </c>
      <c r="J28" s="69" t="s">
        <v>246</v>
      </c>
      <c r="K28" s="67" t="s">
        <v>71</v>
      </c>
      <c r="L28" s="67"/>
      <c r="M28" s="71" t="n">
        <v>46274</v>
      </c>
      <c r="N28" s="71"/>
      <c r="O28" s="71"/>
      <c r="P28" s="71"/>
      <c r="Q28" s="72" t="str">
        <f aca="false">IF(AND(M28="",N28="",O28="",P28=""),"COMPLETAR",IF(P28&lt;&gt;"",IF(O28="","Finalizado",IF(P28&lt;O28,"Finalizado anticipado",IF(P28=O28,"Finalizado","Finalizado con desfase"))),IF(N28&lt;&gt;"",IF(O28="","No planificado",IF(O28&lt;='Tablas y Glosario'!$F$1,"Atrasado",IF(M28="","En curso",IF(N28&gt;M28,"Inicio retrasado",IF(N28&lt;M28,"Inicio anticipado","En curso"))))),IF(M28="","COMPLETAR",IF('Tablas y Glosario'!$F$1&gt;=M28,"No iniciado","Programado")))))</f>
        <v>Programado</v>
      </c>
    </row>
    <row r="29" customFormat="false" ht="35.05" hidden="false" customHeight="false" outlineLevel="0" collapsed="false">
      <c r="A29" s="61"/>
      <c r="B29" s="60" t="s">
        <v>60</v>
      </c>
      <c r="C29" s="61" t="s">
        <v>156</v>
      </c>
      <c r="D29" s="60" t="s">
        <v>80</v>
      </c>
      <c r="E29" s="73" t="s">
        <v>236</v>
      </c>
      <c r="F29" s="73" t="s">
        <v>237</v>
      </c>
      <c r="G29" s="61" t="s">
        <v>103</v>
      </c>
      <c r="H29" s="74" t="s">
        <v>247</v>
      </c>
      <c r="I29" s="73" t="s">
        <v>248</v>
      </c>
      <c r="J29" s="73" t="s">
        <v>249</v>
      </c>
      <c r="K29" s="61" t="s">
        <v>71</v>
      </c>
      <c r="L29" s="61"/>
      <c r="M29" s="75" t="n">
        <v>46275</v>
      </c>
      <c r="N29" s="75"/>
      <c r="O29" s="75"/>
      <c r="P29" s="75"/>
      <c r="Q29" s="76" t="str">
        <f aca="false">IF(AND(M29="",N29="",O29="",P29=""),"COMPLETAR",IF(P29&lt;&gt;"",IF(O29="","Finalizado",IF(P29&lt;O29,"Finalizado anticipado",IF(P29=O29,"Finalizado","Finalizado con desfase"))),IF(N29&lt;&gt;"",IF(O29="","No planificado",IF(O29&lt;='Tablas y Glosario'!$F$1,"Atrasado",IF(M29="","En curso",IF(N29&gt;M29,"Inicio retrasado",IF(N29&lt;M29,"Inicio anticipado","En curso"))))),IF(M29="","COMPLETAR",IF('Tablas y Glosario'!$F$1&gt;=M29,"No iniciado","Programado")))))</f>
        <v>Programado</v>
      </c>
    </row>
    <row r="30" customFormat="false" ht="35.05" hidden="false" customHeight="false" outlineLevel="0" collapsed="false">
      <c r="A30" s="67"/>
      <c r="B30" s="68" t="s">
        <v>60</v>
      </c>
      <c r="C30" s="67" t="s">
        <v>156</v>
      </c>
      <c r="D30" s="68" t="s">
        <v>80</v>
      </c>
      <c r="E30" s="69" t="s">
        <v>236</v>
      </c>
      <c r="F30" s="69" t="s">
        <v>237</v>
      </c>
      <c r="G30" s="67" t="s">
        <v>114</v>
      </c>
      <c r="H30" s="70" t="s">
        <v>250</v>
      </c>
      <c r="I30" s="69" t="s">
        <v>251</v>
      </c>
      <c r="J30" s="69" t="s">
        <v>252</v>
      </c>
      <c r="K30" s="67" t="s">
        <v>70</v>
      </c>
      <c r="L30" s="67"/>
      <c r="M30" s="71" t="n">
        <v>46276</v>
      </c>
      <c r="N30" s="71"/>
      <c r="O30" s="71"/>
      <c r="P30" s="71"/>
      <c r="Q30" s="72" t="str">
        <f aca="false">IF(AND(M30="",N30="",O30="",P30=""),"COMPLETAR",IF(P30&lt;&gt;"",IF(O30="","Finalizado",IF(P30&lt;O30,"Finalizado anticipado",IF(P30=O30,"Finalizado","Finalizado con desfase"))),IF(N30&lt;&gt;"",IF(O30="","No planificado",IF(O30&lt;='Tablas y Glosario'!$F$1,"Atrasado",IF(M30="","En curso",IF(N30&gt;M30,"Inicio retrasado",IF(N30&lt;M30,"Inicio anticipado","En curso"))))),IF(M30="","COMPLETAR",IF('Tablas y Glosario'!$F$1&gt;=M30,"No iniciado","Programado")))))</f>
        <v>Programado</v>
      </c>
    </row>
    <row r="31" customFormat="false" ht="35.05" hidden="false" customHeight="false" outlineLevel="0" collapsed="false">
      <c r="A31" s="61"/>
      <c r="B31" s="60" t="s">
        <v>60</v>
      </c>
      <c r="C31" s="61" t="s">
        <v>156</v>
      </c>
      <c r="D31" s="60" t="s">
        <v>81</v>
      </c>
      <c r="E31" s="73" t="s">
        <v>253</v>
      </c>
      <c r="F31" s="73" t="s">
        <v>254</v>
      </c>
      <c r="G31" s="61" t="s">
        <v>115</v>
      </c>
      <c r="H31" s="74" t="s">
        <v>255</v>
      </c>
      <c r="I31" s="73" t="s">
        <v>256</v>
      </c>
      <c r="J31" s="73" t="s">
        <v>257</v>
      </c>
      <c r="K31" s="61" t="s">
        <v>71</v>
      </c>
      <c r="L31" s="61"/>
      <c r="M31" s="75" t="n">
        <v>46277</v>
      </c>
      <c r="N31" s="75"/>
      <c r="O31" s="75"/>
      <c r="P31" s="75"/>
      <c r="Q31" s="76" t="str">
        <f aca="false">IF(AND(M31="",N31="",O31="",P31=""),"COMPLETAR",IF(P31&lt;&gt;"",IF(O31="","Finalizado",IF(P31&lt;O31,"Finalizado anticipado",IF(P31=O31,"Finalizado","Finalizado con desfase"))),IF(N31&lt;&gt;"",IF(O31="","No planificado",IF(O31&lt;='Tablas y Glosario'!$F$1,"Atrasado",IF(M31="","En curso",IF(N31&gt;M31,"Inicio retrasado",IF(N31&lt;M31,"Inicio anticipado","En curso"))))),IF(M31="","COMPLETAR",IF('Tablas y Glosario'!$F$1&gt;=M31,"No iniciado","Programado")))))</f>
        <v>Programado</v>
      </c>
    </row>
    <row r="32" customFormat="false" ht="35.05" hidden="false" customHeight="false" outlineLevel="0" collapsed="false">
      <c r="A32" s="67"/>
      <c r="B32" s="68" t="s">
        <v>60</v>
      </c>
      <c r="C32" s="67" t="s">
        <v>156</v>
      </c>
      <c r="D32" s="68" t="s">
        <v>81</v>
      </c>
      <c r="E32" s="69" t="s">
        <v>253</v>
      </c>
      <c r="F32" s="69" t="s">
        <v>254</v>
      </c>
      <c r="G32" s="67" t="s">
        <v>116</v>
      </c>
      <c r="H32" s="70" t="s">
        <v>258</v>
      </c>
      <c r="I32" s="69" t="s">
        <v>259</v>
      </c>
      <c r="J32" s="69" t="s">
        <v>260</v>
      </c>
      <c r="K32" s="67" t="s">
        <v>71</v>
      </c>
      <c r="L32" s="67"/>
      <c r="M32" s="71" t="n">
        <v>46278</v>
      </c>
      <c r="N32" s="71"/>
      <c r="O32" s="71"/>
      <c r="P32" s="71"/>
      <c r="Q32" s="72" t="str">
        <f aca="false">IF(AND(M32="",N32="",O32="",P32=""),"COMPLETAR",IF(P32&lt;&gt;"",IF(O32="","Finalizado",IF(P32&lt;O32,"Finalizado anticipado",IF(P32=O32,"Finalizado","Finalizado con desfase"))),IF(N32&lt;&gt;"",IF(O32="","No planificado",IF(O32&lt;='Tablas y Glosario'!$F$1,"Atrasado",IF(M32="","En curso",IF(N32&gt;M32,"Inicio retrasado",IF(N32&lt;M32,"Inicio anticipado","En curso"))))),IF(M32="","COMPLETAR",IF('Tablas y Glosario'!$F$1&gt;=M32,"No iniciado","Programado")))))</f>
        <v>Programado</v>
      </c>
    </row>
    <row r="33" customFormat="false" ht="35.05" hidden="false" customHeight="false" outlineLevel="0" collapsed="false">
      <c r="A33" s="61"/>
      <c r="B33" s="60" t="s">
        <v>60</v>
      </c>
      <c r="C33" s="61" t="s">
        <v>156</v>
      </c>
      <c r="D33" s="60" t="s">
        <v>81</v>
      </c>
      <c r="E33" s="73" t="s">
        <v>253</v>
      </c>
      <c r="F33" s="73" t="s">
        <v>254</v>
      </c>
      <c r="G33" s="61" t="s">
        <v>117</v>
      </c>
      <c r="H33" s="74" t="s">
        <v>261</v>
      </c>
      <c r="I33" s="73" t="s">
        <v>262</v>
      </c>
      <c r="J33" s="73" t="s">
        <v>263</v>
      </c>
      <c r="K33" s="61" t="s">
        <v>71</v>
      </c>
      <c r="L33" s="61"/>
      <c r="M33" s="75" t="n">
        <v>46279</v>
      </c>
      <c r="N33" s="75"/>
      <c r="O33" s="75"/>
      <c r="P33" s="75"/>
      <c r="Q33" s="76" t="str">
        <f aca="false">IF(AND(M33="",N33="",O33="",P33=""),"COMPLETAR",IF(P33&lt;&gt;"",IF(O33="","Finalizado",IF(P33&lt;O33,"Finalizado anticipado",IF(P33=O33,"Finalizado","Finalizado con desfase"))),IF(N33&lt;&gt;"",IF(O33="","No planificado",IF(O33&lt;='Tablas y Glosario'!$F$1,"Atrasado",IF(M33="","En curso",IF(N33&gt;M33,"Inicio retrasado",IF(N33&lt;M33,"Inicio anticipado","En curso"))))),IF(M33="","COMPLETAR",IF('Tablas y Glosario'!$F$1&gt;=M33,"No iniciado","Programado")))))</f>
        <v>Programado</v>
      </c>
    </row>
    <row r="34" customFormat="false" ht="35.05" hidden="false" customHeight="false" outlineLevel="0" collapsed="false">
      <c r="A34" s="67"/>
      <c r="B34" s="68" t="s">
        <v>60</v>
      </c>
      <c r="C34" s="67" t="s">
        <v>156</v>
      </c>
      <c r="D34" s="68" t="s">
        <v>81</v>
      </c>
      <c r="E34" s="69" t="s">
        <v>253</v>
      </c>
      <c r="F34" s="69" t="s">
        <v>254</v>
      </c>
      <c r="G34" s="67" t="s">
        <v>118</v>
      </c>
      <c r="H34" s="70" t="s">
        <v>264</v>
      </c>
      <c r="I34" s="69" t="s">
        <v>265</v>
      </c>
      <c r="J34" s="69" t="s">
        <v>266</v>
      </c>
      <c r="K34" s="67" t="s">
        <v>71</v>
      </c>
      <c r="L34" s="67"/>
      <c r="M34" s="71" t="n">
        <v>46280</v>
      </c>
      <c r="N34" s="71"/>
      <c r="O34" s="71"/>
      <c r="P34" s="71"/>
      <c r="Q34" s="72" t="str">
        <f aca="false">IF(AND(M34="",N34="",O34="",P34=""),"COMPLETAR",IF(P34&lt;&gt;"",IF(O34="","Finalizado",IF(P34&lt;O34,"Finalizado anticipado",IF(P34=O34,"Finalizado","Finalizado con desfase"))),IF(N34&lt;&gt;"",IF(O34="","No planificado",IF(O34&lt;='Tablas y Glosario'!$F$1,"Atrasado",IF(M34="","En curso",IF(N34&gt;M34,"Inicio retrasado",IF(N34&lt;M34,"Inicio anticipado","En curso"))))),IF(M34="","COMPLETAR",IF('Tablas y Glosario'!$F$1&gt;=M34,"No iniciado","Programado")))))</f>
        <v>Programado</v>
      </c>
    </row>
    <row r="35" customFormat="false" ht="35.05" hidden="false" customHeight="false" outlineLevel="0" collapsed="false">
      <c r="A35" s="61"/>
      <c r="B35" s="60" t="s">
        <v>60</v>
      </c>
      <c r="C35" s="61" t="s">
        <v>156</v>
      </c>
      <c r="D35" s="60" t="s">
        <v>81</v>
      </c>
      <c r="E35" s="73" t="s">
        <v>253</v>
      </c>
      <c r="F35" s="73" t="s">
        <v>254</v>
      </c>
      <c r="G35" s="61" t="s">
        <v>119</v>
      </c>
      <c r="H35" s="74" t="s">
        <v>267</v>
      </c>
      <c r="I35" s="73" t="s">
        <v>268</v>
      </c>
      <c r="J35" s="73" t="s">
        <v>269</v>
      </c>
      <c r="K35" s="61" t="s">
        <v>71</v>
      </c>
      <c r="L35" s="61"/>
      <c r="M35" s="75" t="n">
        <v>46281</v>
      </c>
      <c r="N35" s="75"/>
      <c r="O35" s="75"/>
      <c r="P35" s="75"/>
      <c r="Q35" s="76" t="str">
        <f aca="false">IF(AND(M35="",N35="",O35="",P35=""),"COMPLETAR",IF(P35&lt;&gt;"",IF(O35="","Finalizado",IF(P35&lt;O35,"Finalizado anticipado",IF(P35=O35,"Finalizado","Finalizado con desfase"))),IF(N35&lt;&gt;"",IF(O35="","No planificado",IF(O35&lt;='Tablas y Glosario'!$F$1,"Atrasado",IF(M35="","En curso",IF(N35&gt;M35,"Inicio retrasado",IF(N35&lt;M35,"Inicio anticipado","En curso"))))),IF(M35="","COMPLETAR",IF('Tablas y Glosario'!$F$1&gt;=M35,"No iniciado","Programado")))))</f>
        <v>Programado</v>
      </c>
    </row>
    <row r="36" customFormat="false" ht="35.05" hidden="false" customHeight="false" outlineLevel="0" collapsed="false">
      <c r="A36" s="67"/>
      <c r="B36" s="68" t="s">
        <v>60</v>
      </c>
      <c r="C36" s="67" t="s">
        <v>156</v>
      </c>
      <c r="D36" s="68" t="s">
        <v>81</v>
      </c>
      <c r="E36" s="69" t="s">
        <v>253</v>
      </c>
      <c r="F36" s="69" t="s">
        <v>254</v>
      </c>
      <c r="G36" s="67" t="s">
        <v>120</v>
      </c>
      <c r="H36" s="70" t="s">
        <v>270</v>
      </c>
      <c r="I36" s="69" t="s">
        <v>271</v>
      </c>
      <c r="J36" s="69" t="s">
        <v>272</v>
      </c>
      <c r="K36" s="67" t="s">
        <v>70</v>
      </c>
      <c r="L36" s="67"/>
      <c r="M36" s="71" t="n">
        <v>46282</v>
      </c>
      <c r="N36" s="71"/>
      <c r="O36" s="71"/>
      <c r="P36" s="71"/>
      <c r="Q36" s="72" t="str">
        <f aca="false">IF(AND(M36="",N36="",O36="",P36=""),"COMPLETAR",IF(P36&lt;&gt;"",IF(O36="","Finalizado",IF(P36&lt;O36,"Finalizado anticipado",IF(P36=O36,"Finalizado","Finalizado con desfase"))),IF(N36&lt;&gt;"",IF(O36="","No planificado",IF(O36&lt;='Tablas y Glosario'!$F$1,"Atrasado",IF(M36="","En curso",IF(N36&gt;M36,"Inicio retrasado",IF(N36&lt;M36,"Inicio anticipado","En curso"))))),IF(M36="","COMPLETAR",IF('Tablas y Glosario'!$F$1&gt;=M36,"No iniciado","Programado")))))</f>
        <v>Programado</v>
      </c>
    </row>
    <row r="37" customFormat="false" ht="35.05" hidden="false" customHeight="false" outlineLevel="0" collapsed="false">
      <c r="A37" s="61"/>
      <c r="B37" s="60" t="s">
        <v>60</v>
      </c>
      <c r="C37" s="61" t="s">
        <v>156</v>
      </c>
      <c r="D37" s="60" t="s">
        <v>82</v>
      </c>
      <c r="E37" s="73" t="s">
        <v>273</v>
      </c>
      <c r="F37" s="73" t="s">
        <v>274</v>
      </c>
      <c r="G37" s="61" t="s">
        <v>121</v>
      </c>
      <c r="H37" s="74" t="s">
        <v>275</v>
      </c>
      <c r="I37" s="73" t="s">
        <v>276</v>
      </c>
      <c r="J37" s="73" t="s">
        <v>277</v>
      </c>
      <c r="K37" s="61" t="s">
        <v>71</v>
      </c>
      <c r="L37" s="61"/>
      <c r="M37" s="75" t="n">
        <v>46283</v>
      </c>
      <c r="N37" s="75"/>
      <c r="O37" s="75"/>
      <c r="P37" s="75"/>
      <c r="Q37" s="76" t="str">
        <f aca="false">IF(AND(M37="",N37="",O37="",P37=""),"COMPLETAR",IF(P37&lt;&gt;"",IF(O37="","Finalizado",IF(P37&lt;O37,"Finalizado anticipado",IF(P37=O37,"Finalizado","Finalizado con desfase"))),IF(N37&lt;&gt;"",IF(O37="","No planificado",IF(O37&lt;='Tablas y Glosario'!$F$1,"Atrasado",IF(M37="","En curso",IF(N37&gt;M37,"Inicio retrasado",IF(N37&lt;M37,"Inicio anticipado","En curso"))))),IF(M37="","COMPLETAR",IF('Tablas y Glosario'!$F$1&gt;=M37,"No iniciado","Programado")))))</f>
        <v>Programado</v>
      </c>
    </row>
    <row r="38" customFormat="false" ht="35.05" hidden="false" customHeight="false" outlineLevel="0" collapsed="false">
      <c r="A38" s="67"/>
      <c r="B38" s="68" t="s">
        <v>60</v>
      </c>
      <c r="C38" s="67" t="s">
        <v>156</v>
      </c>
      <c r="D38" s="68" t="s">
        <v>82</v>
      </c>
      <c r="E38" s="69" t="s">
        <v>273</v>
      </c>
      <c r="F38" s="69" t="s">
        <v>274</v>
      </c>
      <c r="G38" s="67" t="s">
        <v>122</v>
      </c>
      <c r="H38" s="70" t="s">
        <v>278</v>
      </c>
      <c r="I38" s="69" t="s">
        <v>279</v>
      </c>
      <c r="J38" s="69" t="s">
        <v>280</v>
      </c>
      <c r="K38" s="67" t="s">
        <v>71</v>
      </c>
      <c r="L38" s="67"/>
      <c r="M38" s="71" t="n">
        <v>46284</v>
      </c>
      <c r="N38" s="71"/>
      <c r="O38" s="71"/>
      <c r="P38" s="71"/>
      <c r="Q38" s="72" t="str">
        <f aca="false">IF(AND(M38="",N38="",O38="",P38=""),"COMPLETAR",IF(P38&lt;&gt;"",IF(O38="","Finalizado",IF(P38&lt;O38,"Finalizado anticipado",IF(P38=O38,"Finalizado","Finalizado con desfase"))),IF(N38&lt;&gt;"",IF(O38="","No planificado",IF(O38&lt;='Tablas y Glosario'!$F$1,"Atrasado",IF(M38="","En curso",IF(N38&gt;M38,"Inicio retrasado",IF(N38&lt;M38,"Inicio anticipado","En curso"))))),IF(M38="","COMPLETAR",IF('Tablas y Glosario'!$F$1&gt;=M38,"No iniciado","Programado")))))</f>
        <v>Programado</v>
      </c>
    </row>
    <row r="39" customFormat="false" ht="35.05" hidden="false" customHeight="false" outlineLevel="0" collapsed="false">
      <c r="A39" s="61"/>
      <c r="B39" s="60" t="s">
        <v>60</v>
      </c>
      <c r="C39" s="61" t="s">
        <v>156</v>
      </c>
      <c r="D39" s="60" t="s">
        <v>82</v>
      </c>
      <c r="E39" s="73" t="s">
        <v>273</v>
      </c>
      <c r="F39" s="73" t="s">
        <v>274</v>
      </c>
      <c r="G39" s="61" t="s">
        <v>123</v>
      </c>
      <c r="H39" s="74" t="s">
        <v>281</v>
      </c>
      <c r="I39" s="73" t="s">
        <v>282</v>
      </c>
      <c r="J39" s="73" t="s">
        <v>227</v>
      </c>
      <c r="K39" s="61" t="s">
        <v>71</v>
      </c>
      <c r="L39" s="61"/>
      <c r="M39" s="75" t="n">
        <v>46285</v>
      </c>
      <c r="N39" s="75"/>
      <c r="O39" s="75"/>
      <c r="P39" s="75"/>
      <c r="Q39" s="76" t="str">
        <f aca="false">IF(AND(M39="",N39="",O39="",P39=""),"COMPLETAR",IF(P39&lt;&gt;"",IF(O39="","Finalizado",IF(P39&lt;O39,"Finalizado anticipado",IF(P39=O39,"Finalizado","Finalizado con desfase"))),IF(N39&lt;&gt;"",IF(O39="","No planificado",IF(O39&lt;='Tablas y Glosario'!$F$1,"Atrasado",IF(M39="","En curso",IF(N39&gt;M39,"Inicio retrasado",IF(N39&lt;M39,"Inicio anticipado","En curso"))))),IF(M39="","COMPLETAR",IF('Tablas y Glosario'!$F$1&gt;=M39,"No iniciado","Programado")))))</f>
        <v>Programado</v>
      </c>
    </row>
    <row r="40" customFormat="false" ht="46.25" hidden="false" customHeight="false" outlineLevel="0" collapsed="false">
      <c r="A40" s="67"/>
      <c r="B40" s="68" t="s">
        <v>60</v>
      </c>
      <c r="C40" s="67" t="s">
        <v>156</v>
      </c>
      <c r="D40" s="68" t="s">
        <v>83</v>
      </c>
      <c r="E40" s="69" t="s">
        <v>283</v>
      </c>
      <c r="F40" s="69" t="s">
        <v>284</v>
      </c>
      <c r="G40" s="67" t="s">
        <v>124</v>
      </c>
      <c r="H40" s="70" t="s">
        <v>285</v>
      </c>
      <c r="I40" s="69" t="s">
        <v>286</v>
      </c>
      <c r="J40" s="69" t="s">
        <v>287</v>
      </c>
      <c r="K40" s="67" t="s">
        <v>70</v>
      </c>
      <c r="L40" s="67"/>
      <c r="M40" s="71" t="n">
        <v>46286</v>
      </c>
      <c r="N40" s="71"/>
      <c r="O40" s="71"/>
      <c r="P40" s="71"/>
      <c r="Q40" s="72" t="str">
        <f aca="false">IF(AND(M40="",N40="",O40="",P40=""),"COMPLETAR",IF(P40&lt;&gt;"",IF(O40="","Finalizado",IF(P40&lt;O40,"Finalizado anticipado",IF(P40=O40,"Finalizado","Finalizado con desfase"))),IF(N40&lt;&gt;"",IF(O40="","No planificado",IF(O40&lt;='Tablas y Glosario'!$F$1,"Atrasado",IF(M40="","En curso",IF(N40&gt;M40,"Inicio retrasado",IF(N40&lt;M40,"Inicio anticipado","En curso"))))),IF(M40="","COMPLETAR",IF('Tablas y Glosario'!$F$1&gt;=M40,"No iniciado","Programado")))))</f>
        <v>Programado</v>
      </c>
    </row>
    <row r="41" customFormat="false" ht="46.25" hidden="false" customHeight="false" outlineLevel="0" collapsed="false">
      <c r="A41" s="61"/>
      <c r="B41" s="60" t="s">
        <v>60</v>
      </c>
      <c r="C41" s="61" t="s">
        <v>156</v>
      </c>
      <c r="D41" s="60" t="s">
        <v>83</v>
      </c>
      <c r="E41" s="73" t="s">
        <v>283</v>
      </c>
      <c r="F41" s="73" t="s">
        <v>288</v>
      </c>
      <c r="G41" s="61" t="s">
        <v>125</v>
      </c>
      <c r="H41" s="74" t="s">
        <v>289</v>
      </c>
      <c r="I41" s="73" t="s">
        <v>290</v>
      </c>
      <c r="J41" s="73" t="s">
        <v>291</v>
      </c>
      <c r="K41" s="61" t="s">
        <v>70</v>
      </c>
      <c r="L41" s="61"/>
      <c r="M41" s="75" t="n">
        <v>46287</v>
      </c>
      <c r="N41" s="75"/>
      <c r="O41" s="75"/>
      <c r="P41" s="75"/>
      <c r="Q41" s="76" t="str">
        <f aca="false">IF(AND(M41="",N41="",O41="",P41=""),"COMPLETAR",IF(P41&lt;&gt;"",IF(O41="","Finalizado",IF(P41&lt;O41,"Finalizado anticipado",IF(P41=O41,"Finalizado","Finalizado con desfase"))),IF(N41&lt;&gt;"",IF(O41="","No planificado",IF(O41&lt;='Tablas y Glosario'!$F$1,"Atrasado",IF(M41="","En curso",IF(N41&gt;M41,"Inicio retrasado",IF(N41&lt;M41,"Inicio anticipado","En curso"))))),IF(M41="","COMPLETAR",IF('Tablas y Glosario'!$F$1&gt;=M41,"No iniciado","Programado")))))</f>
        <v>Programado</v>
      </c>
    </row>
    <row r="42" customFormat="false" ht="46.25" hidden="false" customHeight="false" outlineLevel="0" collapsed="false">
      <c r="A42" s="67"/>
      <c r="B42" s="68" t="s">
        <v>60</v>
      </c>
      <c r="C42" s="67" t="s">
        <v>156</v>
      </c>
      <c r="D42" s="68" t="s">
        <v>83</v>
      </c>
      <c r="E42" s="69" t="s">
        <v>283</v>
      </c>
      <c r="F42" s="69" t="s">
        <v>288</v>
      </c>
      <c r="G42" s="67" t="s">
        <v>126</v>
      </c>
      <c r="H42" s="70" t="s">
        <v>292</v>
      </c>
      <c r="I42" s="69" t="s">
        <v>293</v>
      </c>
      <c r="J42" s="69" t="s">
        <v>294</v>
      </c>
      <c r="K42" s="67" t="s">
        <v>70</v>
      </c>
      <c r="L42" s="67"/>
      <c r="M42" s="71" t="n">
        <v>46288</v>
      </c>
      <c r="N42" s="71"/>
      <c r="O42" s="71"/>
      <c r="P42" s="71"/>
      <c r="Q42" s="72" t="str">
        <f aca="false">IF(AND(M42="",N42="",O42="",P42=""),"COMPLETAR",IF(P42&lt;&gt;"",IF(O42="","Finalizado",IF(P42&lt;O42,"Finalizado anticipado",IF(P42=O42,"Finalizado","Finalizado con desfase"))),IF(N42&lt;&gt;"",IF(O42="","No planificado",IF(O42&lt;='Tablas y Glosario'!$F$1,"Atrasado",IF(M42="","En curso",IF(N42&gt;M42,"Inicio retrasado",IF(N42&lt;M42,"Inicio anticipado","En curso"))))),IF(M42="","COMPLETAR",IF('Tablas y Glosario'!$F$1&gt;=M42,"No iniciado","Programado")))))</f>
        <v>Programado</v>
      </c>
    </row>
    <row r="43" customFormat="false" ht="46.25" hidden="false" customHeight="false" outlineLevel="0" collapsed="false">
      <c r="A43" s="61"/>
      <c r="B43" s="60" t="s">
        <v>60</v>
      </c>
      <c r="C43" s="61" t="s">
        <v>156</v>
      </c>
      <c r="D43" s="60" t="s">
        <v>83</v>
      </c>
      <c r="E43" s="73" t="s">
        <v>283</v>
      </c>
      <c r="F43" s="73" t="s">
        <v>288</v>
      </c>
      <c r="G43" s="61" t="s">
        <v>127</v>
      </c>
      <c r="H43" s="74" t="s">
        <v>295</v>
      </c>
      <c r="I43" s="73" t="s">
        <v>296</v>
      </c>
      <c r="J43" s="73" t="s">
        <v>297</v>
      </c>
      <c r="K43" s="61" t="s">
        <v>70</v>
      </c>
      <c r="L43" s="61"/>
      <c r="M43" s="75" t="n">
        <v>46289</v>
      </c>
      <c r="N43" s="75"/>
      <c r="O43" s="75"/>
      <c r="P43" s="75"/>
      <c r="Q43" s="76" t="str">
        <f aca="false">IF(AND(M43="",N43="",O43="",P43=""),"COMPLETAR",IF(P43&lt;&gt;"",IF(O43="","Finalizado",IF(P43&lt;O43,"Finalizado anticipado",IF(P43=O43,"Finalizado","Finalizado con desfase"))),IF(N43&lt;&gt;"",IF(O43="","No planificado",IF(O43&lt;='Tablas y Glosario'!$F$1,"Atrasado",IF(M43="","En curso",IF(N43&gt;M43,"Inicio retrasado",IF(N43&lt;M43,"Inicio anticipado","En curso"))))),IF(M43="","COMPLETAR",IF('Tablas y Glosario'!$F$1&gt;=M43,"No iniciado","Programado")))))</f>
        <v>Programado</v>
      </c>
    </row>
    <row r="44" customFormat="false" ht="57.45" hidden="false" customHeight="false" outlineLevel="0" collapsed="false">
      <c r="A44" s="67"/>
      <c r="B44" s="68" t="s">
        <v>62</v>
      </c>
      <c r="C44" s="67" t="s">
        <v>156</v>
      </c>
      <c r="D44" s="68" t="s">
        <v>74</v>
      </c>
      <c r="E44" s="69" t="s">
        <v>157</v>
      </c>
      <c r="F44" s="69" t="s">
        <v>158</v>
      </c>
      <c r="G44" s="67" t="s">
        <v>87</v>
      </c>
      <c r="H44" s="70" t="s">
        <v>159</v>
      </c>
      <c r="I44" s="69" t="s">
        <v>160</v>
      </c>
      <c r="J44" s="69" t="s">
        <v>161</v>
      </c>
      <c r="K44" s="67" t="s">
        <v>70</v>
      </c>
      <c r="L44" s="67"/>
      <c r="M44" s="71" t="n">
        <v>46290</v>
      </c>
      <c r="N44" s="71"/>
      <c r="O44" s="71"/>
      <c r="P44" s="71"/>
      <c r="Q44" s="72" t="str">
        <f aca="false">IF(AND(M44="",N44="",O44="",P44=""),"COMPLETAR",IF(P44&lt;&gt;"",IF(O44="","Finalizado",IF(P44&lt;O44,"Finalizado anticipado",IF(P44=O44,"Finalizado","Finalizado con desfase"))),IF(N44&lt;&gt;"",IF(O44="","No planificado",IF(O44&lt;='Tablas y Glosario'!$F$1,"Atrasado",IF(M44="","En curso",IF(N44&gt;M44,"Inicio retrasado",IF(N44&lt;M44,"Inicio anticipado","En curso"))))),IF(M44="","COMPLETAR",IF('Tablas y Glosario'!$F$1&gt;=M44,"No iniciado","Programado")))))</f>
        <v>Programado</v>
      </c>
    </row>
    <row r="45" customFormat="false" ht="57.45" hidden="false" customHeight="false" outlineLevel="0" collapsed="false">
      <c r="A45" s="61"/>
      <c r="B45" s="60" t="s">
        <v>62</v>
      </c>
      <c r="C45" s="61" t="s">
        <v>156</v>
      </c>
      <c r="D45" s="60" t="s">
        <v>74</v>
      </c>
      <c r="E45" s="73" t="s">
        <v>157</v>
      </c>
      <c r="F45" s="73" t="s">
        <v>158</v>
      </c>
      <c r="G45" s="61" t="s">
        <v>88</v>
      </c>
      <c r="H45" s="74" t="s">
        <v>162</v>
      </c>
      <c r="I45" s="73" t="s">
        <v>163</v>
      </c>
      <c r="J45" s="73" t="s">
        <v>164</v>
      </c>
      <c r="K45" s="61" t="s">
        <v>70</v>
      </c>
      <c r="L45" s="61"/>
      <c r="M45" s="75" t="n">
        <v>46291</v>
      </c>
      <c r="N45" s="75"/>
      <c r="O45" s="75"/>
      <c r="P45" s="75"/>
      <c r="Q45" s="76" t="str">
        <f aca="false">IF(AND(M45="",N45="",O45="",P45=""),"COMPLETAR",IF(P45&lt;&gt;"",IF(O45="","Finalizado",IF(P45&lt;O45,"Finalizado anticipado",IF(P45=O45,"Finalizado","Finalizado con desfase"))),IF(N45&lt;&gt;"",IF(O45="","No planificado",IF(O45&lt;='Tablas y Glosario'!$F$1,"Atrasado",IF(M45="","En curso",IF(N45&gt;M45,"Inicio retrasado",IF(N45&lt;M45,"Inicio anticipado","En curso"))))),IF(M45="","COMPLETAR",IF('Tablas y Glosario'!$F$1&gt;=M45,"No iniciado","Programado")))))</f>
        <v>Programado</v>
      </c>
    </row>
    <row r="46" customFormat="false" ht="57.45" hidden="false" customHeight="false" outlineLevel="0" collapsed="false">
      <c r="A46" s="67"/>
      <c r="B46" s="68" t="s">
        <v>62</v>
      </c>
      <c r="C46" s="67" t="s">
        <v>156</v>
      </c>
      <c r="D46" s="68" t="s">
        <v>74</v>
      </c>
      <c r="E46" s="69" t="s">
        <v>157</v>
      </c>
      <c r="F46" s="69" t="s">
        <v>158</v>
      </c>
      <c r="G46" s="67" t="s">
        <v>89</v>
      </c>
      <c r="H46" s="70" t="s">
        <v>165</v>
      </c>
      <c r="I46" s="69" t="s">
        <v>166</v>
      </c>
      <c r="J46" s="69" t="s">
        <v>167</v>
      </c>
      <c r="K46" s="67" t="s">
        <v>70</v>
      </c>
      <c r="L46" s="67"/>
      <c r="M46" s="71" t="n">
        <v>46292</v>
      </c>
      <c r="N46" s="71"/>
      <c r="O46" s="71"/>
      <c r="P46" s="71"/>
      <c r="Q46" s="72" t="str">
        <f aca="false">IF(AND(M46="",N46="",O46="",P46=""),"COMPLETAR",IF(P46&lt;&gt;"",IF(O46="","Finalizado",IF(P46&lt;O46,"Finalizado anticipado",IF(P46=O46,"Finalizado","Finalizado con desfase"))),IF(N46&lt;&gt;"",IF(O46="","No planificado",IF(O46&lt;='Tablas y Glosario'!$F$1,"Atrasado",IF(M46="","En curso",IF(N46&gt;M46,"Inicio retrasado",IF(N46&lt;M46,"Inicio anticipado","En curso"))))),IF(M46="","COMPLETAR",IF('Tablas y Glosario'!$F$1&gt;=M46,"No iniciado","Programado")))))</f>
        <v>Programado</v>
      </c>
    </row>
    <row r="47" customFormat="false" ht="57.45" hidden="false" customHeight="false" outlineLevel="0" collapsed="false">
      <c r="A47" s="61"/>
      <c r="B47" s="60" t="s">
        <v>62</v>
      </c>
      <c r="C47" s="61" t="s">
        <v>156</v>
      </c>
      <c r="D47" s="60" t="s">
        <v>74</v>
      </c>
      <c r="E47" s="73" t="s">
        <v>157</v>
      </c>
      <c r="F47" s="73" t="s">
        <v>158</v>
      </c>
      <c r="G47" s="61" t="s">
        <v>90</v>
      </c>
      <c r="H47" s="74" t="s">
        <v>168</v>
      </c>
      <c r="I47" s="73" t="s">
        <v>169</v>
      </c>
      <c r="J47" s="73" t="s">
        <v>170</v>
      </c>
      <c r="K47" s="61" t="s">
        <v>70</v>
      </c>
      <c r="L47" s="61"/>
      <c r="M47" s="75" t="n">
        <v>46293</v>
      </c>
      <c r="N47" s="75"/>
      <c r="O47" s="75"/>
      <c r="P47" s="75"/>
      <c r="Q47" s="76" t="str">
        <f aca="false">IF(AND(M47="",N47="",O47="",P47=""),"COMPLETAR",IF(P47&lt;&gt;"",IF(O47="","Finalizado",IF(P47&lt;O47,"Finalizado anticipado",IF(P47=O47,"Finalizado","Finalizado con desfase"))),IF(N47&lt;&gt;"",IF(O47="","No planificado",IF(O47&lt;='Tablas y Glosario'!$F$1,"Atrasado",IF(M47="","En curso",IF(N47&gt;M47,"Inicio retrasado",IF(N47&lt;M47,"Inicio anticipado","En curso"))))),IF(M47="","COMPLETAR",IF('Tablas y Glosario'!$F$1&gt;=M47,"No iniciado","Programado")))))</f>
        <v>Programado</v>
      </c>
    </row>
    <row r="48" customFormat="false" ht="46.25" hidden="false" customHeight="false" outlineLevel="0" collapsed="false">
      <c r="A48" s="67"/>
      <c r="B48" s="68" t="s">
        <v>62</v>
      </c>
      <c r="C48" s="67" t="s">
        <v>156</v>
      </c>
      <c r="D48" s="68" t="s">
        <v>75</v>
      </c>
      <c r="E48" s="69" t="s">
        <v>171</v>
      </c>
      <c r="F48" s="69" t="s">
        <v>172</v>
      </c>
      <c r="G48" s="67" t="s">
        <v>91</v>
      </c>
      <c r="H48" s="70" t="s">
        <v>173</v>
      </c>
      <c r="I48" s="69" t="s">
        <v>174</v>
      </c>
      <c r="J48" s="69" t="s">
        <v>175</v>
      </c>
      <c r="K48" s="67" t="s">
        <v>70</v>
      </c>
      <c r="L48" s="67"/>
      <c r="M48" s="71" t="n">
        <v>46294</v>
      </c>
      <c r="N48" s="71"/>
      <c r="O48" s="71"/>
      <c r="P48" s="71"/>
      <c r="Q48" s="72" t="str">
        <f aca="false">IF(AND(M48="",N48="",O48="",P48=""),"COMPLETAR",IF(P48&lt;&gt;"",IF(O48="","Finalizado",IF(P48&lt;O48,"Finalizado anticipado",IF(P48=O48,"Finalizado","Finalizado con desfase"))),IF(N48&lt;&gt;"",IF(O48="","No planificado",IF(O48&lt;='Tablas y Glosario'!$F$1,"Atrasado",IF(M48="","En curso",IF(N48&gt;M48,"Inicio retrasado",IF(N48&lt;M48,"Inicio anticipado","En curso"))))),IF(M48="","COMPLETAR",IF('Tablas y Glosario'!$F$1&gt;=M48,"No iniciado","Programado")))))</f>
        <v>Programado</v>
      </c>
    </row>
    <row r="49" customFormat="false" ht="46.25" hidden="false" customHeight="false" outlineLevel="0" collapsed="false">
      <c r="A49" s="61"/>
      <c r="B49" s="60" t="s">
        <v>62</v>
      </c>
      <c r="C49" s="61" t="s">
        <v>156</v>
      </c>
      <c r="D49" s="60" t="s">
        <v>75</v>
      </c>
      <c r="E49" s="73" t="s">
        <v>171</v>
      </c>
      <c r="F49" s="73" t="s">
        <v>176</v>
      </c>
      <c r="G49" s="61" t="s">
        <v>92</v>
      </c>
      <c r="H49" s="74" t="s">
        <v>177</v>
      </c>
      <c r="I49" s="73" t="s">
        <v>178</v>
      </c>
      <c r="J49" s="73" t="s">
        <v>175</v>
      </c>
      <c r="K49" s="61" t="s">
        <v>70</v>
      </c>
      <c r="L49" s="61"/>
      <c r="M49" s="75" t="n">
        <v>46295</v>
      </c>
      <c r="N49" s="75"/>
      <c r="O49" s="75"/>
      <c r="P49" s="75"/>
      <c r="Q49" s="76" t="str">
        <f aca="false">IF(AND(M49="",N49="",O49="",P49=""),"COMPLETAR",IF(P49&lt;&gt;"",IF(O49="","Finalizado",IF(P49&lt;O49,"Finalizado anticipado",IF(P49=O49,"Finalizado","Finalizado con desfase"))),IF(N49&lt;&gt;"",IF(O49="","No planificado",IF(O49&lt;='Tablas y Glosario'!$F$1,"Atrasado",IF(M49="","En curso",IF(N49&gt;M49,"Inicio retrasado",IF(N49&lt;M49,"Inicio anticipado","En curso"))))),IF(M49="","COMPLETAR",IF('Tablas y Glosario'!$F$1&gt;=M49,"No iniciado","Programado")))))</f>
        <v>Programado</v>
      </c>
    </row>
    <row r="50" customFormat="false" ht="46.25" hidden="false" customHeight="false" outlineLevel="0" collapsed="false">
      <c r="A50" s="67"/>
      <c r="B50" s="68" t="s">
        <v>62</v>
      </c>
      <c r="C50" s="67" t="s">
        <v>156</v>
      </c>
      <c r="D50" s="68" t="s">
        <v>75</v>
      </c>
      <c r="E50" s="69" t="s">
        <v>171</v>
      </c>
      <c r="F50" s="69" t="s">
        <v>176</v>
      </c>
      <c r="G50" s="67" t="s">
        <v>93</v>
      </c>
      <c r="H50" s="70" t="s">
        <v>179</v>
      </c>
      <c r="I50" s="69" t="s">
        <v>180</v>
      </c>
      <c r="J50" s="69" t="s">
        <v>181</v>
      </c>
      <c r="K50" s="67" t="s">
        <v>70</v>
      </c>
      <c r="L50" s="67"/>
      <c r="M50" s="71" t="n">
        <v>46296</v>
      </c>
      <c r="N50" s="71"/>
      <c r="O50" s="71"/>
      <c r="P50" s="71"/>
      <c r="Q50" s="72" t="str">
        <f aca="false">IF(AND(M50="",N50="",O50="",P50=""),"COMPLETAR",IF(P50&lt;&gt;"",IF(O50="","Finalizado",IF(P50&lt;O50,"Finalizado anticipado",IF(P50=O50,"Finalizado","Finalizado con desfase"))),IF(N50&lt;&gt;"",IF(O50="","No planificado",IF(O50&lt;='Tablas y Glosario'!$F$1,"Atrasado",IF(M50="","En curso",IF(N50&gt;M50,"Inicio retrasado",IF(N50&lt;M50,"Inicio anticipado","En curso"))))),IF(M50="","COMPLETAR",IF('Tablas y Glosario'!$F$1&gt;=M50,"No iniciado","Programado")))))</f>
        <v>Programado</v>
      </c>
    </row>
    <row r="51" customFormat="false" ht="46.25" hidden="false" customHeight="false" outlineLevel="0" collapsed="false">
      <c r="A51" s="61"/>
      <c r="B51" s="60" t="s">
        <v>62</v>
      </c>
      <c r="C51" s="61" t="s">
        <v>156</v>
      </c>
      <c r="D51" s="60" t="s">
        <v>75</v>
      </c>
      <c r="E51" s="73" t="s">
        <v>171</v>
      </c>
      <c r="F51" s="73" t="s">
        <v>176</v>
      </c>
      <c r="G51" s="61" t="s">
        <v>94</v>
      </c>
      <c r="H51" s="74" t="s">
        <v>182</v>
      </c>
      <c r="I51" s="73" t="s">
        <v>183</v>
      </c>
      <c r="J51" s="73" t="s">
        <v>184</v>
      </c>
      <c r="K51" s="61" t="s">
        <v>70</v>
      </c>
      <c r="L51" s="61"/>
      <c r="M51" s="75" t="n">
        <v>46297</v>
      </c>
      <c r="N51" s="75"/>
      <c r="O51" s="75"/>
      <c r="P51" s="75"/>
      <c r="Q51" s="76" t="str">
        <f aca="false">IF(AND(M51="",N51="",O51="",P51=""),"COMPLETAR",IF(P51&lt;&gt;"",IF(O51="","Finalizado",IF(P51&lt;O51,"Finalizado anticipado",IF(P51=O51,"Finalizado","Finalizado con desfase"))),IF(N51&lt;&gt;"",IF(O51="","No planificado",IF(O51&lt;='Tablas y Glosario'!$F$1,"Atrasado",IF(M51="","En curso",IF(N51&gt;M51,"Inicio retrasado",IF(N51&lt;M51,"Inicio anticipado","En curso"))))),IF(M51="","COMPLETAR",IF('Tablas y Glosario'!$F$1&gt;=M51,"No iniciado","Programado")))))</f>
        <v>Programado</v>
      </c>
    </row>
    <row r="52" customFormat="false" ht="46.25" hidden="false" customHeight="false" outlineLevel="0" collapsed="false">
      <c r="A52" s="67"/>
      <c r="B52" s="68" t="s">
        <v>62</v>
      </c>
      <c r="C52" s="67" t="s">
        <v>156</v>
      </c>
      <c r="D52" s="68" t="s">
        <v>75</v>
      </c>
      <c r="E52" s="69" t="s">
        <v>171</v>
      </c>
      <c r="F52" s="69" t="s">
        <v>176</v>
      </c>
      <c r="G52" s="67" t="s">
        <v>95</v>
      </c>
      <c r="H52" s="70" t="s">
        <v>185</v>
      </c>
      <c r="I52" s="69" t="s">
        <v>186</v>
      </c>
      <c r="J52" s="69" t="s">
        <v>187</v>
      </c>
      <c r="K52" s="67" t="s">
        <v>70</v>
      </c>
      <c r="L52" s="67"/>
      <c r="M52" s="71" t="n">
        <v>46298</v>
      </c>
      <c r="N52" s="71"/>
      <c r="O52" s="71"/>
      <c r="P52" s="71"/>
      <c r="Q52" s="72" t="str">
        <f aca="false">IF(AND(M52="",N52="",O52="",P52=""),"COMPLETAR",IF(P52&lt;&gt;"",IF(O52="","Finalizado",IF(P52&lt;O52,"Finalizado anticipado",IF(P52=O52,"Finalizado","Finalizado con desfase"))),IF(N52&lt;&gt;"",IF(O52="","No planificado",IF(O52&lt;='Tablas y Glosario'!$F$1,"Atrasado",IF(M52="","En curso",IF(N52&gt;M52,"Inicio retrasado",IF(N52&lt;M52,"Inicio anticipado","En curso"))))),IF(M52="","COMPLETAR",IF('Tablas y Glosario'!$F$1&gt;=M52,"No iniciado","Programado")))))</f>
        <v>Programado</v>
      </c>
    </row>
    <row r="53" customFormat="false" ht="35.05" hidden="false" customHeight="false" outlineLevel="0" collapsed="false">
      <c r="A53" s="61"/>
      <c r="B53" s="60" t="s">
        <v>62</v>
      </c>
      <c r="C53" s="61" t="s">
        <v>156</v>
      </c>
      <c r="D53" s="60" t="s">
        <v>76</v>
      </c>
      <c r="E53" s="73" t="s">
        <v>188</v>
      </c>
      <c r="F53" s="73" t="s">
        <v>189</v>
      </c>
      <c r="G53" s="61" t="s">
        <v>96</v>
      </c>
      <c r="H53" s="74" t="s">
        <v>190</v>
      </c>
      <c r="I53" s="73" t="s">
        <v>191</v>
      </c>
      <c r="J53" s="73" t="s">
        <v>192</v>
      </c>
      <c r="K53" s="61" t="s">
        <v>71</v>
      </c>
      <c r="L53" s="61"/>
      <c r="M53" s="75" t="n">
        <v>46299</v>
      </c>
      <c r="N53" s="75"/>
      <c r="O53" s="75"/>
      <c r="P53" s="75"/>
      <c r="Q53" s="76" t="str">
        <f aca="false">IF(AND(M53="",N53="",O53="",P53=""),"COMPLETAR",IF(P53&lt;&gt;"",IF(O53="","Finalizado",IF(P53&lt;O53,"Finalizado anticipado",IF(P53=O53,"Finalizado","Finalizado con desfase"))),IF(N53&lt;&gt;"",IF(O53="","No planificado",IF(O53&lt;='Tablas y Glosario'!$F$1,"Atrasado",IF(M53="","En curso",IF(N53&gt;M53,"Inicio retrasado",IF(N53&lt;M53,"Inicio anticipado","En curso"))))),IF(M53="","COMPLETAR",IF('Tablas y Glosario'!$F$1&gt;=M53,"No iniciado","Programado")))))</f>
        <v>Programado</v>
      </c>
    </row>
    <row r="54" customFormat="false" ht="35.05" hidden="false" customHeight="false" outlineLevel="0" collapsed="false">
      <c r="A54" s="67"/>
      <c r="B54" s="68" t="s">
        <v>62</v>
      </c>
      <c r="C54" s="67" t="s">
        <v>156</v>
      </c>
      <c r="D54" s="68" t="s">
        <v>76</v>
      </c>
      <c r="E54" s="69" t="s">
        <v>188</v>
      </c>
      <c r="F54" s="69" t="s">
        <v>189</v>
      </c>
      <c r="G54" s="67" t="s">
        <v>97</v>
      </c>
      <c r="H54" s="70" t="s">
        <v>193</v>
      </c>
      <c r="I54" s="69" t="s">
        <v>110</v>
      </c>
      <c r="J54" s="69" t="s">
        <v>192</v>
      </c>
      <c r="K54" s="67" t="s">
        <v>70</v>
      </c>
      <c r="L54" s="67"/>
      <c r="M54" s="71" t="n">
        <v>46300</v>
      </c>
      <c r="N54" s="71"/>
      <c r="O54" s="71"/>
      <c r="P54" s="71"/>
      <c r="Q54" s="72" t="str">
        <f aca="false">IF(AND(M54="",N54="",O54="",P54=""),"COMPLETAR",IF(P54&lt;&gt;"",IF(O54="","Finalizado",IF(P54&lt;O54,"Finalizado anticipado",IF(P54=O54,"Finalizado","Finalizado con desfase"))),IF(N54&lt;&gt;"",IF(O54="","No planificado",IF(O54&lt;='Tablas y Glosario'!$F$1,"Atrasado",IF(M54="","En curso",IF(N54&gt;M54,"Inicio retrasado",IF(N54&lt;M54,"Inicio anticipado","En curso"))))),IF(M54="","COMPLETAR",IF('Tablas y Glosario'!$F$1&gt;=M54,"No iniciado","Programado")))))</f>
        <v>Programado</v>
      </c>
    </row>
    <row r="55" customFormat="false" ht="35.05" hidden="false" customHeight="false" outlineLevel="0" collapsed="false">
      <c r="A55" s="61"/>
      <c r="B55" s="60" t="s">
        <v>62</v>
      </c>
      <c r="C55" s="61" t="s">
        <v>156</v>
      </c>
      <c r="D55" s="60" t="s">
        <v>76</v>
      </c>
      <c r="E55" s="73" t="s">
        <v>188</v>
      </c>
      <c r="F55" s="73" t="s">
        <v>189</v>
      </c>
      <c r="G55" s="61" t="s">
        <v>98</v>
      </c>
      <c r="H55" s="74" t="s">
        <v>194</v>
      </c>
      <c r="I55" s="73" t="s">
        <v>195</v>
      </c>
      <c r="J55" s="73" t="s">
        <v>196</v>
      </c>
      <c r="K55" s="61" t="s">
        <v>71</v>
      </c>
      <c r="L55" s="61"/>
      <c r="M55" s="75" t="n">
        <v>46301</v>
      </c>
      <c r="N55" s="75"/>
      <c r="O55" s="75"/>
      <c r="P55" s="75"/>
      <c r="Q55" s="76" t="str">
        <f aca="false">IF(AND(M55="",N55="",O55="",P55=""),"COMPLETAR",IF(P55&lt;&gt;"",IF(O55="","Finalizado",IF(P55&lt;O55,"Finalizado anticipado",IF(P55=O55,"Finalizado","Finalizado con desfase"))),IF(N55&lt;&gt;"",IF(O55="","No planificado",IF(O55&lt;='Tablas y Glosario'!$F$1,"Atrasado",IF(M55="","En curso",IF(N55&gt;M55,"Inicio retrasado",IF(N55&lt;M55,"Inicio anticipado","En curso"))))),IF(M55="","COMPLETAR",IF('Tablas y Glosario'!$F$1&gt;=M55,"No iniciado","Programado")))))</f>
        <v>Programado</v>
      </c>
    </row>
    <row r="56" customFormat="false" ht="35.05" hidden="false" customHeight="false" outlineLevel="0" collapsed="false">
      <c r="A56" s="67"/>
      <c r="B56" s="68" t="s">
        <v>62</v>
      </c>
      <c r="C56" s="67" t="s">
        <v>156</v>
      </c>
      <c r="D56" s="68" t="s">
        <v>76</v>
      </c>
      <c r="E56" s="69" t="s">
        <v>188</v>
      </c>
      <c r="F56" s="69" t="s">
        <v>189</v>
      </c>
      <c r="G56" s="67" t="s">
        <v>99</v>
      </c>
      <c r="H56" s="70" t="s">
        <v>197</v>
      </c>
      <c r="I56" s="69" t="s">
        <v>110</v>
      </c>
      <c r="J56" s="69" t="s">
        <v>196</v>
      </c>
      <c r="K56" s="67" t="s">
        <v>70</v>
      </c>
      <c r="L56" s="67"/>
      <c r="M56" s="71" t="n">
        <v>46302</v>
      </c>
      <c r="N56" s="71"/>
      <c r="O56" s="71"/>
      <c r="P56" s="71"/>
      <c r="Q56" s="72" t="str">
        <f aca="false">IF(AND(M56="",N56="",O56="",P56=""),"COMPLETAR",IF(P56&lt;&gt;"",IF(O56="","Finalizado",IF(P56&lt;O56,"Finalizado anticipado",IF(P56=O56,"Finalizado","Finalizado con desfase"))),IF(N56&lt;&gt;"",IF(O56="","No planificado",IF(O56&lt;='Tablas y Glosario'!$F$1,"Atrasado",IF(M56="","En curso",IF(N56&gt;M56,"Inicio retrasado",IF(N56&lt;M56,"Inicio anticipado","En curso"))))),IF(M56="","COMPLETAR",IF('Tablas y Glosario'!$F$1&gt;=M56,"No iniciado","Programado")))))</f>
        <v>Programado</v>
      </c>
    </row>
    <row r="57" customFormat="false" ht="35.05" hidden="false" customHeight="false" outlineLevel="0" collapsed="false">
      <c r="A57" s="61"/>
      <c r="B57" s="60" t="s">
        <v>62</v>
      </c>
      <c r="C57" s="61" t="s">
        <v>156</v>
      </c>
      <c r="D57" s="60" t="s">
        <v>77</v>
      </c>
      <c r="E57" s="73" t="s">
        <v>198</v>
      </c>
      <c r="F57" s="73" t="s">
        <v>199</v>
      </c>
      <c r="G57" s="61" t="s">
        <v>100</v>
      </c>
      <c r="H57" s="74" t="s">
        <v>200</v>
      </c>
      <c r="I57" s="73" t="s">
        <v>201</v>
      </c>
      <c r="J57" s="73" t="s">
        <v>202</v>
      </c>
      <c r="K57" s="61" t="s">
        <v>70</v>
      </c>
      <c r="L57" s="61"/>
      <c r="M57" s="75" t="n">
        <v>46303</v>
      </c>
      <c r="N57" s="75"/>
      <c r="O57" s="75"/>
      <c r="P57" s="75"/>
      <c r="Q57" s="76" t="str">
        <f aca="false">IF(AND(M57="",N57="",O57="",P57=""),"COMPLETAR",IF(P57&lt;&gt;"",IF(O57="","Finalizado",IF(P57&lt;O57,"Finalizado anticipado",IF(P57=O57,"Finalizado","Finalizado con desfase"))),IF(N57&lt;&gt;"",IF(O57="","No planificado",IF(O57&lt;='Tablas y Glosario'!$F$1,"Atrasado",IF(M57="","En curso",IF(N57&gt;M57,"Inicio retrasado",IF(N57&lt;M57,"Inicio anticipado","En curso"))))),IF(M57="","COMPLETAR",IF('Tablas y Glosario'!$F$1&gt;=M57,"No iniciado","Programado")))))</f>
        <v>Programado</v>
      </c>
    </row>
    <row r="58" customFormat="false" ht="23.85" hidden="false" customHeight="false" outlineLevel="0" collapsed="false">
      <c r="A58" s="67"/>
      <c r="B58" s="68" t="s">
        <v>62</v>
      </c>
      <c r="C58" s="67" t="s">
        <v>156</v>
      </c>
      <c r="D58" s="68" t="s">
        <v>78</v>
      </c>
      <c r="E58" s="69" t="s">
        <v>203</v>
      </c>
      <c r="F58" s="69" t="s">
        <v>204</v>
      </c>
      <c r="G58" s="67" t="s">
        <v>101</v>
      </c>
      <c r="H58" s="70" t="s">
        <v>205</v>
      </c>
      <c r="I58" s="69" t="s">
        <v>206</v>
      </c>
      <c r="J58" s="69" t="s">
        <v>207</v>
      </c>
      <c r="K58" s="67" t="s">
        <v>71</v>
      </c>
      <c r="L58" s="67"/>
      <c r="M58" s="71" t="n">
        <v>46304</v>
      </c>
      <c r="N58" s="71"/>
      <c r="O58" s="71"/>
      <c r="P58" s="71"/>
      <c r="Q58" s="72" t="str">
        <f aca="false">IF(AND(M58="",N58="",O58="",P58=""),"COMPLETAR",IF(P58&lt;&gt;"",IF(O58="","Finalizado",IF(P58&lt;O58,"Finalizado anticipado",IF(P58=O58,"Finalizado","Finalizado con desfase"))),IF(N58&lt;&gt;"",IF(O58="","No planificado",IF(O58&lt;='Tablas y Glosario'!$F$1,"Atrasado",IF(M58="","En curso",IF(N58&gt;M58,"Inicio retrasado",IF(N58&lt;M58,"Inicio anticipado","En curso"))))),IF(M58="","COMPLETAR",IF('Tablas y Glosario'!$F$1&gt;=M58,"No iniciado","Programado")))))</f>
        <v>Programado</v>
      </c>
    </row>
    <row r="59" customFormat="false" ht="23.85" hidden="false" customHeight="false" outlineLevel="0" collapsed="false">
      <c r="A59" s="61"/>
      <c r="B59" s="60" t="s">
        <v>62</v>
      </c>
      <c r="C59" s="61" t="s">
        <v>156</v>
      </c>
      <c r="D59" s="60" t="s">
        <v>78</v>
      </c>
      <c r="E59" s="73" t="s">
        <v>203</v>
      </c>
      <c r="F59" s="73" t="s">
        <v>204</v>
      </c>
      <c r="G59" s="61" t="s">
        <v>102</v>
      </c>
      <c r="H59" s="74" t="s">
        <v>208</v>
      </c>
      <c r="I59" s="73" t="s">
        <v>209</v>
      </c>
      <c r="J59" s="73" t="s">
        <v>210</v>
      </c>
      <c r="K59" s="61" t="s">
        <v>71</v>
      </c>
      <c r="L59" s="61"/>
      <c r="M59" s="75" t="n">
        <v>46305</v>
      </c>
      <c r="N59" s="75"/>
      <c r="O59" s="75"/>
      <c r="P59" s="75"/>
      <c r="Q59" s="76" t="str">
        <f aca="false">IF(AND(M59="",N59="",O59="",P59=""),"COMPLETAR",IF(P59&lt;&gt;"",IF(O59="","Finalizado",IF(P59&lt;O59,"Finalizado anticipado",IF(P59=O59,"Finalizado","Finalizado con desfase"))),IF(N59&lt;&gt;"",IF(O59="","No planificado",IF(O59&lt;='Tablas y Glosario'!$F$1,"Atrasado",IF(M59="","En curso",IF(N59&gt;M59,"Inicio retrasado",IF(N59&lt;M59,"Inicio anticipado","En curso"))))),IF(M59="","COMPLETAR",IF('Tablas y Glosario'!$F$1&gt;=M59,"No iniciado","Programado")))))</f>
        <v>Programado</v>
      </c>
    </row>
    <row r="60" customFormat="false" ht="23.85" hidden="false" customHeight="false" outlineLevel="0" collapsed="false">
      <c r="A60" s="67"/>
      <c r="B60" s="68" t="s">
        <v>62</v>
      </c>
      <c r="C60" s="67" t="s">
        <v>156</v>
      </c>
      <c r="D60" s="68" t="s">
        <v>78</v>
      </c>
      <c r="E60" s="69" t="s">
        <v>203</v>
      </c>
      <c r="F60" s="69" t="s">
        <v>204</v>
      </c>
      <c r="G60" s="67" t="s">
        <v>103</v>
      </c>
      <c r="H60" s="70" t="s">
        <v>211</v>
      </c>
      <c r="I60" s="69" t="s">
        <v>212</v>
      </c>
      <c r="J60" s="69" t="s">
        <v>213</v>
      </c>
      <c r="K60" s="67" t="s">
        <v>71</v>
      </c>
      <c r="L60" s="67"/>
      <c r="M60" s="71" t="n">
        <v>46306</v>
      </c>
      <c r="N60" s="71"/>
      <c r="O60" s="71"/>
      <c r="P60" s="71"/>
      <c r="Q60" s="72" t="str">
        <f aca="false">IF(AND(M60="",N60="",O60="",P60=""),"COMPLETAR",IF(P60&lt;&gt;"",IF(O60="","Finalizado",IF(P60&lt;O60,"Finalizado anticipado",IF(P60=O60,"Finalizado","Finalizado con desfase"))),IF(N60&lt;&gt;"",IF(O60="","No planificado",IF(O60&lt;='Tablas y Glosario'!$F$1,"Atrasado",IF(M60="","En curso",IF(N60&gt;M60,"Inicio retrasado",IF(N60&lt;M60,"Inicio anticipado","En curso"))))),IF(M60="","COMPLETAR",IF('Tablas y Glosario'!$F$1&gt;=M60,"No iniciado","Programado")))))</f>
        <v>Programado</v>
      </c>
    </row>
    <row r="61" customFormat="false" ht="23.85" hidden="false" customHeight="false" outlineLevel="0" collapsed="false">
      <c r="A61" s="61"/>
      <c r="B61" s="60" t="s">
        <v>62</v>
      </c>
      <c r="C61" s="61" t="s">
        <v>156</v>
      </c>
      <c r="D61" s="60" t="s">
        <v>78</v>
      </c>
      <c r="E61" s="73" t="s">
        <v>203</v>
      </c>
      <c r="F61" s="73" t="s">
        <v>204</v>
      </c>
      <c r="G61" s="61" t="s">
        <v>104</v>
      </c>
      <c r="H61" s="74" t="s">
        <v>214</v>
      </c>
      <c r="I61" s="73" t="s">
        <v>215</v>
      </c>
      <c r="J61" s="73" t="s">
        <v>216</v>
      </c>
      <c r="K61" s="61" t="s">
        <v>71</v>
      </c>
      <c r="L61" s="61"/>
      <c r="M61" s="75" t="n">
        <v>46307</v>
      </c>
      <c r="N61" s="75"/>
      <c r="O61" s="75"/>
      <c r="P61" s="75"/>
      <c r="Q61" s="76" t="str">
        <f aca="false">IF(AND(M61="",N61="",O61="",P61=""),"COMPLETAR",IF(P61&lt;&gt;"",IF(O61="","Finalizado",IF(P61&lt;O61,"Finalizado anticipado",IF(P61=O61,"Finalizado","Finalizado con desfase"))),IF(N61&lt;&gt;"",IF(O61="","No planificado",IF(O61&lt;='Tablas y Glosario'!$F$1,"Atrasado",IF(M61="","En curso",IF(N61&gt;M61,"Inicio retrasado",IF(N61&lt;M61,"Inicio anticipado","En curso"))))),IF(M61="","COMPLETAR",IF('Tablas y Glosario'!$F$1&gt;=M61,"No iniciado","Programado")))))</f>
        <v>Programado</v>
      </c>
    </row>
    <row r="62" customFormat="false" ht="35.05" hidden="false" customHeight="false" outlineLevel="0" collapsed="false">
      <c r="A62" s="67"/>
      <c r="B62" s="68" t="s">
        <v>62</v>
      </c>
      <c r="C62" s="67" t="s">
        <v>156</v>
      </c>
      <c r="D62" s="68" t="s">
        <v>79</v>
      </c>
      <c r="E62" s="69" t="s">
        <v>217</v>
      </c>
      <c r="F62" s="69" t="s">
        <v>218</v>
      </c>
      <c r="G62" s="67" t="s">
        <v>105</v>
      </c>
      <c r="H62" s="70" t="s">
        <v>219</v>
      </c>
      <c r="I62" s="69" t="s">
        <v>220</v>
      </c>
      <c r="J62" s="69" t="s">
        <v>221</v>
      </c>
      <c r="K62" s="67" t="s">
        <v>70</v>
      </c>
      <c r="L62" s="67"/>
      <c r="M62" s="71" t="n">
        <v>46308</v>
      </c>
      <c r="N62" s="71"/>
      <c r="O62" s="71"/>
      <c r="P62" s="71"/>
      <c r="Q62" s="72" t="str">
        <f aca="false">IF(AND(M62="",N62="",O62="",P62=""),"COMPLETAR",IF(P62&lt;&gt;"",IF(O62="","Finalizado",IF(P62&lt;O62,"Finalizado anticipado",IF(P62=O62,"Finalizado","Finalizado con desfase"))),IF(N62&lt;&gt;"",IF(O62="","No planificado",IF(O62&lt;='Tablas y Glosario'!$F$1,"Atrasado",IF(M62="","En curso",IF(N62&gt;M62,"Inicio retrasado",IF(N62&lt;M62,"Inicio anticipado","En curso"))))),IF(M62="","COMPLETAR",IF('Tablas y Glosario'!$F$1&gt;=M62,"No iniciado","Programado")))))</f>
        <v>Programado</v>
      </c>
    </row>
    <row r="63" customFormat="false" ht="35.05" hidden="false" customHeight="false" outlineLevel="0" collapsed="false">
      <c r="A63" s="61"/>
      <c r="B63" s="60" t="s">
        <v>62</v>
      </c>
      <c r="C63" s="61" t="s">
        <v>156</v>
      </c>
      <c r="D63" s="60" t="s">
        <v>79</v>
      </c>
      <c r="E63" s="73" t="s">
        <v>217</v>
      </c>
      <c r="F63" s="73" t="s">
        <v>218</v>
      </c>
      <c r="G63" s="61" t="s">
        <v>106</v>
      </c>
      <c r="H63" s="74" t="s">
        <v>222</v>
      </c>
      <c r="I63" s="73" t="s">
        <v>223</v>
      </c>
      <c r="J63" s="73" t="s">
        <v>224</v>
      </c>
      <c r="K63" s="61" t="s">
        <v>70</v>
      </c>
      <c r="L63" s="61"/>
      <c r="M63" s="75" t="n">
        <v>46309</v>
      </c>
      <c r="N63" s="75"/>
      <c r="O63" s="75"/>
      <c r="P63" s="75"/>
      <c r="Q63" s="76" t="str">
        <f aca="false">IF(AND(M63="",N63="",O63="",P63=""),"COMPLETAR",IF(P63&lt;&gt;"",IF(O63="","Finalizado",IF(P63&lt;O63,"Finalizado anticipado",IF(P63=O63,"Finalizado","Finalizado con desfase"))),IF(N63&lt;&gt;"",IF(O63="","No planificado",IF(O63&lt;='Tablas y Glosario'!$F$1,"Atrasado",IF(M63="","En curso",IF(N63&gt;M63,"Inicio retrasado",IF(N63&lt;M63,"Inicio anticipado","En curso"))))),IF(M63="","COMPLETAR",IF('Tablas y Glosario'!$F$1&gt;=M63,"No iniciado","Programado")))))</f>
        <v>Programado</v>
      </c>
    </row>
    <row r="64" customFormat="false" ht="35.05" hidden="false" customHeight="false" outlineLevel="0" collapsed="false">
      <c r="A64" s="67"/>
      <c r="B64" s="68" t="s">
        <v>62</v>
      </c>
      <c r="C64" s="67" t="s">
        <v>156</v>
      </c>
      <c r="D64" s="68" t="s">
        <v>79</v>
      </c>
      <c r="E64" s="69" t="s">
        <v>217</v>
      </c>
      <c r="F64" s="69" t="s">
        <v>218</v>
      </c>
      <c r="G64" s="67" t="s">
        <v>107</v>
      </c>
      <c r="H64" s="70" t="s">
        <v>225</v>
      </c>
      <c r="I64" s="69" t="s">
        <v>226</v>
      </c>
      <c r="J64" s="69" t="s">
        <v>227</v>
      </c>
      <c r="K64" s="67" t="s">
        <v>71</v>
      </c>
      <c r="L64" s="67"/>
      <c r="M64" s="71" t="n">
        <v>46310</v>
      </c>
      <c r="N64" s="71"/>
      <c r="O64" s="71"/>
      <c r="P64" s="71"/>
      <c r="Q64" s="72" t="str">
        <f aca="false">IF(AND(M64="",N64="",O64="",P64=""),"COMPLETAR",IF(P64&lt;&gt;"",IF(O64="","Finalizado",IF(P64&lt;O64,"Finalizado anticipado",IF(P64=O64,"Finalizado","Finalizado con desfase"))),IF(N64&lt;&gt;"",IF(O64="","No planificado",IF(O64&lt;='Tablas y Glosario'!$F$1,"Atrasado",IF(M64="","En curso",IF(N64&gt;M64,"Inicio retrasado",IF(N64&lt;M64,"Inicio anticipado","En curso"))))),IF(M64="","COMPLETAR",IF('Tablas y Glosario'!$F$1&gt;=M64,"No iniciado","Programado")))))</f>
        <v>Programado</v>
      </c>
    </row>
    <row r="65" customFormat="false" ht="35.05" hidden="false" customHeight="false" outlineLevel="0" collapsed="false">
      <c r="A65" s="61"/>
      <c r="B65" s="60" t="s">
        <v>62</v>
      </c>
      <c r="C65" s="61" t="s">
        <v>156</v>
      </c>
      <c r="D65" s="60" t="s">
        <v>79</v>
      </c>
      <c r="E65" s="73" t="s">
        <v>217</v>
      </c>
      <c r="F65" s="73" t="s">
        <v>218</v>
      </c>
      <c r="G65" s="61" t="s">
        <v>108</v>
      </c>
      <c r="H65" s="74" t="s">
        <v>228</v>
      </c>
      <c r="I65" s="73" t="s">
        <v>229</v>
      </c>
      <c r="J65" s="73" t="s">
        <v>230</v>
      </c>
      <c r="K65" s="61" t="s">
        <v>71</v>
      </c>
      <c r="L65" s="61"/>
      <c r="M65" s="75" t="n">
        <v>46311</v>
      </c>
      <c r="N65" s="75"/>
      <c r="O65" s="75"/>
      <c r="P65" s="75"/>
      <c r="Q65" s="76" t="str">
        <f aca="false">IF(AND(M65="",N65="",O65="",P65=""),"COMPLETAR",IF(P65&lt;&gt;"",IF(O65="","Finalizado",IF(P65&lt;O65,"Finalizado anticipado",IF(P65=O65,"Finalizado","Finalizado con desfase"))),IF(N65&lt;&gt;"",IF(O65="","No planificado",IF(O65&lt;='Tablas y Glosario'!$F$1,"Atrasado",IF(M65="","En curso",IF(N65&gt;M65,"Inicio retrasado",IF(N65&lt;M65,"Inicio anticipado","En curso"))))),IF(M65="","COMPLETAR",IF('Tablas y Glosario'!$F$1&gt;=M65,"No iniciado","Programado")))))</f>
        <v>Programado</v>
      </c>
    </row>
    <row r="66" customFormat="false" ht="35.05" hidden="false" customHeight="false" outlineLevel="0" collapsed="false">
      <c r="A66" s="67"/>
      <c r="B66" s="68" t="s">
        <v>62</v>
      </c>
      <c r="C66" s="67" t="s">
        <v>156</v>
      </c>
      <c r="D66" s="68" t="s">
        <v>79</v>
      </c>
      <c r="E66" s="69" t="s">
        <v>217</v>
      </c>
      <c r="F66" s="69" t="s">
        <v>218</v>
      </c>
      <c r="G66" s="67" t="s">
        <v>109</v>
      </c>
      <c r="H66" s="70" t="s">
        <v>222</v>
      </c>
      <c r="I66" s="69" t="s">
        <v>231</v>
      </c>
      <c r="J66" s="69" t="s">
        <v>232</v>
      </c>
      <c r="K66" s="67" t="s">
        <v>70</v>
      </c>
      <c r="L66" s="67"/>
      <c r="M66" s="71" t="n">
        <v>46312</v>
      </c>
      <c r="N66" s="71"/>
      <c r="O66" s="71"/>
      <c r="P66" s="71"/>
      <c r="Q66" s="72" t="str">
        <f aca="false">IF(AND(M66="",N66="",O66="",P66=""),"COMPLETAR",IF(P66&lt;&gt;"",IF(O66="","Finalizado",IF(P66&lt;O66,"Finalizado anticipado",IF(P66=O66,"Finalizado","Finalizado con desfase"))),IF(N66&lt;&gt;"",IF(O66="","No planificado",IF(O66&lt;='Tablas y Glosario'!$F$1,"Atrasado",IF(M66="","En curso",IF(N66&gt;M66,"Inicio retrasado",IF(N66&lt;M66,"Inicio anticipado","En curso"))))),IF(M66="","COMPLETAR",IF('Tablas y Glosario'!$F$1&gt;=M66,"No iniciado","Programado")))))</f>
        <v>Programado</v>
      </c>
    </row>
    <row r="67" customFormat="false" ht="35.05" hidden="false" customHeight="false" outlineLevel="0" collapsed="false">
      <c r="A67" s="61"/>
      <c r="B67" s="60" t="s">
        <v>62</v>
      </c>
      <c r="C67" s="61" t="s">
        <v>156</v>
      </c>
      <c r="D67" s="60" t="s">
        <v>79</v>
      </c>
      <c r="E67" s="73" t="s">
        <v>217</v>
      </c>
      <c r="F67" s="73" t="s">
        <v>218</v>
      </c>
      <c r="G67" s="61" t="s">
        <v>110</v>
      </c>
      <c r="H67" s="74" t="s">
        <v>233</v>
      </c>
      <c r="I67" s="73" t="s">
        <v>234</v>
      </c>
      <c r="J67" s="73" t="s">
        <v>235</v>
      </c>
      <c r="K67" s="61" t="s">
        <v>70</v>
      </c>
      <c r="L67" s="61"/>
      <c r="M67" s="75" t="n">
        <v>46313</v>
      </c>
      <c r="N67" s="75"/>
      <c r="O67" s="75"/>
      <c r="P67" s="75"/>
      <c r="Q67" s="76" t="str">
        <f aca="false">IF(AND(M67="",N67="",O67="",P67=""),"COMPLETAR",IF(P67&lt;&gt;"",IF(O67="","Finalizado",IF(P67&lt;O67,"Finalizado anticipado",IF(P67=O67,"Finalizado","Finalizado con desfase"))),IF(N67&lt;&gt;"",IF(O67="","No planificado",IF(O67&lt;='Tablas y Glosario'!$F$1,"Atrasado",IF(M67="","En curso",IF(N67&gt;M67,"Inicio retrasado",IF(N67&lt;M67,"Inicio anticipado","En curso"))))),IF(M67="","COMPLETAR",IF('Tablas y Glosario'!$F$1&gt;=M67,"No iniciado","Programado")))))</f>
        <v>Programado</v>
      </c>
    </row>
    <row r="68" customFormat="false" ht="35.05" hidden="false" customHeight="false" outlineLevel="0" collapsed="false">
      <c r="A68" s="67"/>
      <c r="B68" s="68" t="s">
        <v>62</v>
      </c>
      <c r="C68" s="67" t="s">
        <v>156</v>
      </c>
      <c r="D68" s="68" t="s">
        <v>80</v>
      </c>
      <c r="E68" s="69" t="s">
        <v>236</v>
      </c>
      <c r="F68" s="69" t="s">
        <v>237</v>
      </c>
      <c r="G68" s="67" t="s">
        <v>111</v>
      </c>
      <c r="H68" s="70" t="s">
        <v>238</v>
      </c>
      <c r="I68" s="69" t="s">
        <v>239</v>
      </c>
      <c r="J68" s="69" t="s">
        <v>240</v>
      </c>
      <c r="K68" s="67" t="s">
        <v>70</v>
      </c>
      <c r="L68" s="67"/>
      <c r="M68" s="71" t="n">
        <v>46314</v>
      </c>
      <c r="N68" s="71"/>
      <c r="O68" s="71"/>
      <c r="P68" s="71"/>
      <c r="Q68" s="72" t="str">
        <f aca="false">IF(AND(M68="",N68="",O68="",P68=""),"COMPLETAR",IF(P68&lt;&gt;"",IF(O68="","Finalizado",IF(P68&lt;O68,"Finalizado anticipado",IF(P68=O68,"Finalizado","Finalizado con desfase"))),IF(N68&lt;&gt;"",IF(O68="","No planificado",IF(O68&lt;='Tablas y Glosario'!$F$1,"Atrasado",IF(M68="","En curso",IF(N68&gt;M68,"Inicio retrasado",IF(N68&lt;M68,"Inicio anticipado","En curso"))))),IF(M68="","COMPLETAR",IF('Tablas y Glosario'!$F$1&gt;=M68,"No iniciado","Programado")))))</f>
        <v>Programado</v>
      </c>
    </row>
    <row r="69" customFormat="false" ht="35.05" hidden="false" customHeight="false" outlineLevel="0" collapsed="false">
      <c r="A69" s="61"/>
      <c r="B69" s="60" t="s">
        <v>62</v>
      </c>
      <c r="C69" s="61" t="s">
        <v>156</v>
      </c>
      <c r="D69" s="60" t="s">
        <v>80</v>
      </c>
      <c r="E69" s="73" t="s">
        <v>236</v>
      </c>
      <c r="F69" s="73" t="s">
        <v>237</v>
      </c>
      <c r="G69" s="61" t="s">
        <v>112</v>
      </c>
      <c r="H69" s="74" t="s">
        <v>241</v>
      </c>
      <c r="I69" s="73" t="s">
        <v>242</v>
      </c>
      <c r="J69" s="73" t="s">
        <v>243</v>
      </c>
      <c r="K69" s="61" t="s">
        <v>71</v>
      </c>
      <c r="L69" s="61"/>
      <c r="M69" s="75" t="n">
        <v>46315</v>
      </c>
      <c r="N69" s="75"/>
      <c r="O69" s="75"/>
      <c r="P69" s="75"/>
      <c r="Q69" s="76" t="str">
        <f aca="false">IF(AND(M69="",N69="",O69="",P69=""),"COMPLETAR",IF(P69&lt;&gt;"",IF(O69="","Finalizado",IF(P69&lt;O69,"Finalizado anticipado",IF(P69=O69,"Finalizado","Finalizado con desfase"))),IF(N69&lt;&gt;"",IF(O69="","No planificado",IF(O69&lt;='Tablas y Glosario'!$F$1,"Atrasado",IF(M69="","En curso",IF(N69&gt;M69,"Inicio retrasado",IF(N69&lt;M69,"Inicio anticipado","En curso"))))),IF(M69="","COMPLETAR",IF('Tablas y Glosario'!$F$1&gt;=M69,"No iniciado","Programado")))))</f>
        <v>Programado</v>
      </c>
    </row>
    <row r="70" customFormat="false" ht="35.05" hidden="false" customHeight="false" outlineLevel="0" collapsed="false">
      <c r="A70" s="67"/>
      <c r="B70" s="68" t="s">
        <v>62</v>
      </c>
      <c r="C70" s="67" t="s">
        <v>156</v>
      </c>
      <c r="D70" s="68" t="s">
        <v>80</v>
      </c>
      <c r="E70" s="69" t="s">
        <v>236</v>
      </c>
      <c r="F70" s="69" t="s">
        <v>237</v>
      </c>
      <c r="G70" s="67" t="s">
        <v>113</v>
      </c>
      <c r="H70" s="70" t="s">
        <v>244</v>
      </c>
      <c r="I70" s="69" t="s">
        <v>245</v>
      </c>
      <c r="J70" s="69" t="s">
        <v>246</v>
      </c>
      <c r="K70" s="67" t="s">
        <v>71</v>
      </c>
      <c r="L70" s="67"/>
      <c r="M70" s="71" t="n">
        <v>46316</v>
      </c>
      <c r="N70" s="71"/>
      <c r="O70" s="71"/>
      <c r="P70" s="71"/>
      <c r="Q70" s="72" t="str">
        <f aca="false">IF(AND(M70="",N70="",O70="",P70=""),"COMPLETAR",IF(P70&lt;&gt;"",IF(O70="","Finalizado",IF(P70&lt;O70,"Finalizado anticipado",IF(P70=O70,"Finalizado","Finalizado con desfase"))),IF(N70&lt;&gt;"",IF(O70="","No planificado",IF(O70&lt;='Tablas y Glosario'!$F$1,"Atrasado",IF(M70="","En curso",IF(N70&gt;M70,"Inicio retrasado",IF(N70&lt;M70,"Inicio anticipado","En curso"))))),IF(M70="","COMPLETAR",IF('Tablas y Glosario'!$F$1&gt;=M70,"No iniciado","Programado")))))</f>
        <v>Programado</v>
      </c>
    </row>
    <row r="71" customFormat="false" ht="35.05" hidden="false" customHeight="false" outlineLevel="0" collapsed="false">
      <c r="A71" s="61"/>
      <c r="B71" s="60" t="s">
        <v>62</v>
      </c>
      <c r="C71" s="61" t="s">
        <v>156</v>
      </c>
      <c r="D71" s="60" t="s">
        <v>80</v>
      </c>
      <c r="E71" s="73" t="s">
        <v>236</v>
      </c>
      <c r="F71" s="73" t="s">
        <v>237</v>
      </c>
      <c r="G71" s="61" t="s">
        <v>103</v>
      </c>
      <c r="H71" s="74" t="s">
        <v>247</v>
      </c>
      <c r="I71" s="73" t="s">
        <v>248</v>
      </c>
      <c r="J71" s="73" t="s">
        <v>249</v>
      </c>
      <c r="K71" s="61" t="s">
        <v>71</v>
      </c>
      <c r="L71" s="61"/>
      <c r="M71" s="75" t="n">
        <v>46317</v>
      </c>
      <c r="N71" s="75"/>
      <c r="O71" s="75"/>
      <c r="P71" s="75"/>
      <c r="Q71" s="76" t="str">
        <f aca="false">IF(AND(M71="",N71="",O71="",P71=""),"COMPLETAR",IF(P71&lt;&gt;"",IF(O71="","Finalizado",IF(P71&lt;O71,"Finalizado anticipado",IF(P71=O71,"Finalizado","Finalizado con desfase"))),IF(N71&lt;&gt;"",IF(O71="","No planificado",IF(O71&lt;='Tablas y Glosario'!$F$1,"Atrasado",IF(M71="","En curso",IF(N71&gt;M71,"Inicio retrasado",IF(N71&lt;M71,"Inicio anticipado","En curso"))))),IF(M71="","COMPLETAR",IF('Tablas y Glosario'!$F$1&gt;=M71,"No iniciado","Programado")))))</f>
        <v>Programado</v>
      </c>
    </row>
    <row r="72" customFormat="false" ht="35.05" hidden="false" customHeight="false" outlineLevel="0" collapsed="false">
      <c r="A72" s="67"/>
      <c r="B72" s="68" t="s">
        <v>62</v>
      </c>
      <c r="C72" s="67" t="s">
        <v>156</v>
      </c>
      <c r="D72" s="68" t="s">
        <v>80</v>
      </c>
      <c r="E72" s="69" t="s">
        <v>236</v>
      </c>
      <c r="F72" s="69" t="s">
        <v>237</v>
      </c>
      <c r="G72" s="67" t="s">
        <v>114</v>
      </c>
      <c r="H72" s="70" t="s">
        <v>250</v>
      </c>
      <c r="I72" s="69" t="s">
        <v>251</v>
      </c>
      <c r="J72" s="69" t="s">
        <v>252</v>
      </c>
      <c r="K72" s="67" t="s">
        <v>70</v>
      </c>
      <c r="L72" s="67"/>
      <c r="M72" s="71" t="n">
        <v>46318</v>
      </c>
      <c r="N72" s="71"/>
      <c r="O72" s="71"/>
      <c r="P72" s="71"/>
      <c r="Q72" s="72" t="str">
        <f aca="false">IF(AND(M72="",N72="",O72="",P72=""),"COMPLETAR",IF(P72&lt;&gt;"",IF(O72="","Finalizado",IF(P72&lt;O72,"Finalizado anticipado",IF(P72=O72,"Finalizado","Finalizado con desfase"))),IF(N72&lt;&gt;"",IF(O72="","No planificado",IF(O72&lt;='Tablas y Glosario'!$F$1,"Atrasado",IF(M72="","En curso",IF(N72&gt;M72,"Inicio retrasado",IF(N72&lt;M72,"Inicio anticipado","En curso"))))),IF(M72="","COMPLETAR",IF('Tablas y Glosario'!$F$1&gt;=M72,"No iniciado","Programado")))))</f>
        <v>Programado</v>
      </c>
    </row>
    <row r="73" customFormat="false" ht="35.05" hidden="false" customHeight="false" outlineLevel="0" collapsed="false">
      <c r="A73" s="61"/>
      <c r="B73" s="60" t="s">
        <v>62</v>
      </c>
      <c r="C73" s="61" t="s">
        <v>156</v>
      </c>
      <c r="D73" s="60" t="s">
        <v>81</v>
      </c>
      <c r="E73" s="73" t="s">
        <v>253</v>
      </c>
      <c r="F73" s="73" t="s">
        <v>254</v>
      </c>
      <c r="G73" s="61" t="s">
        <v>115</v>
      </c>
      <c r="H73" s="74" t="s">
        <v>255</v>
      </c>
      <c r="I73" s="73" t="s">
        <v>256</v>
      </c>
      <c r="J73" s="73" t="s">
        <v>257</v>
      </c>
      <c r="K73" s="61" t="s">
        <v>71</v>
      </c>
      <c r="L73" s="61"/>
      <c r="M73" s="75" t="n">
        <v>46319</v>
      </c>
      <c r="N73" s="75"/>
      <c r="O73" s="75"/>
      <c r="P73" s="75"/>
      <c r="Q73" s="76" t="str">
        <f aca="false">IF(AND(M73="",N73="",O73="",P73=""),"COMPLETAR",IF(P73&lt;&gt;"",IF(O73="","Finalizado",IF(P73&lt;O73,"Finalizado anticipado",IF(P73=O73,"Finalizado","Finalizado con desfase"))),IF(N73&lt;&gt;"",IF(O73="","No planificado",IF(O73&lt;='Tablas y Glosario'!$F$1,"Atrasado",IF(M73="","En curso",IF(N73&gt;M73,"Inicio retrasado",IF(N73&lt;M73,"Inicio anticipado","En curso"))))),IF(M73="","COMPLETAR",IF('Tablas y Glosario'!$F$1&gt;=M73,"No iniciado","Programado")))))</f>
        <v>Programado</v>
      </c>
    </row>
    <row r="74" customFormat="false" ht="35.05" hidden="false" customHeight="false" outlineLevel="0" collapsed="false">
      <c r="A74" s="67"/>
      <c r="B74" s="68" t="s">
        <v>62</v>
      </c>
      <c r="C74" s="67" t="s">
        <v>156</v>
      </c>
      <c r="D74" s="68" t="s">
        <v>81</v>
      </c>
      <c r="E74" s="69" t="s">
        <v>253</v>
      </c>
      <c r="F74" s="69" t="s">
        <v>254</v>
      </c>
      <c r="G74" s="67" t="s">
        <v>116</v>
      </c>
      <c r="H74" s="70" t="s">
        <v>258</v>
      </c>
      <c r="I74" s="69" t="s">
        <v>259</v>
      </c>
      <c r="J74" s="69" t="s">
        <v>260</v>
      </c>
      <c r="K74" s="67" t="s">
        <v>71</v>
      </c>
      <c r="L74" s="67"/>
      <c r="M74" s="71" t="n">
        <v>46320</v>
      </c>
      <c r="N74" s="71"/>
      <c r="O74" s="71"/>
      <c r="P74" s="71"/>
      <c r="Q74" s="72" t="str">
        <f aca="false">IF(AND(M74="",N74="",O74="",P74=""),"COMPLETAR",IF(P74&lt;&gt;"",IF(O74="","Finalizado",IF(P74&lt;O74,"Finalizado anticipado",IF(P74=O74,"Finalizado","Finalizado con desfase"))),IF(N74&lt;&gt;"",IF(O74="","No planificado",IF(O74&lt;='Tablas y Glosario'!$F$1,"Atrasado",IF(M74="","En curso",IF(N74&gt;M74,"Inicio retrasado",IF(N74&lt;M74,"Inicio anticipado","En curso"))))),IF(M74="","COMPLETAR",IF('Tablas y Glosario'!$F$1&gt;=M74,"No iniciado","Programado")))))</f>
        <v>Programado</v>
      </c>
    </row>
    <row r="75" customFormat="false" ht="35.05" hidden="false" customHeight="false" outlineLevel="0" collapsed="false">
      <c r="A75" s="61"/>
      <c r="B75" s="60" t="s">
        <v>62</v>
      </c>
      <c r="C75" s="61" t="s">
        <v>156</v>
      </c>
      <c r="D75" s="60" t="s">
        <v>81</v>
      </c>
      <c r="E75" s="73" t="s">
        <v>253</v>
      </c>
      <c r="F75" s="73" t="s">
        <v>254</v>
      </c>
      <c r="G75" s="61" t="s">
        <v>117</v>
      </c>
      <c r="H75" s="74" t="s">
        <v>261</v>
      </c>
      <c r="I75" s="73" t="s">
        <v>262</v>
      </c>
      <c r="J75" s="73" t="s">
        <v>263</v>
      </c>
      <c r="K75" s="61" t="s">
        <v>71</v>
      </c>
      <c r="L75" s="61"/>
      <c r="M75" s="75" t="n">
        <v>46321</v>
      </c>
      <c r="N75" s="75"/>
      <c r="O75" s="75"/>
      <c r="P75" s="75"/>
      <c r="Q75" s="76" t="str">
        <f aca="false">IF(AND(M75="",N75="",O75="",P75=""),"COMPLETAR",IF(P75&lt;&gt;"",IF(O75="","Finalizado",IF(P75&lt;O75,"Finalizado anticipado",IF(P75=O75,"Finalizado","Finalizado con desfase"))),IF(N75&lt;&gt;"",IF(O75="","No planificado",IF(O75&lt;='Tablas y Glosario'!$F$1,"Atrasado",IF(M75="","En curso",IF(N75&gt;M75,"Inicio retrasado",IF(N75&lt;M75,"Inicio anticipado","En curso"))))),IF(M75="","COMPLETAR",IF('Tablas y Glosario'!$F$1&gt;=M75,"No iniciado","Programado")))))</f>
        <v>Programado</v>
      </c>
    </row>
    <row r="76" customFormat="false" ht="35.05" hidden="false" customHeight="false" outlineLevel="0" collapsed="false">
      <c r="A76" s="67"/>
      <c r="B76" s="68" t="s">
        <v>62</v>
      </c>
      <c r="C76" s="67" t="s">
        <v>156</v>
      </c>
      <c r="D76" s="68" t="s">
        <v>81</v>
      </c>
      <c r="E76" s="69" t="s">
        <v>253</v>
      </c>
      <c r="F76" s="69" t="s">
        <v>254</v>
      </c>
      <c r="G76" s="67" t="s">
        <v>118</v>
      </c>
      <c r="H76" s="70" t="s">
        <v>264</v>
      </c>
      <c r="I76" s="69" t="s">
        <v>265</v>
      </c>
      <c r="J76" s="69" t="s">
        <v>266</v>
      </c>
      <c r="K76" s="67" t="s">
        <v>71</v>
      </c>
      <c r="L76" s="67"/>
      <c r="M76" s="71" t="n">
        <v>46322</v>
      </c>
      <c r="N76" s="71"/>
      <c r="O76" s="71"/>
      <c r="P76" s="71"/>
      <c r="Q76" s="72" t="str">
        <f aca="false">IF(AND(M76="",N76="",O76="",P76=""),"COMPLETAR",IF(P76&lt;&gt;"",IF(O76="","Finalizado",IF(P76&lt;O76,"Finalizado anticipado",IF(P76=O76,"Finalizado","Finalizado con desfase"))),IF(N76&lt;&gt;"",IF(O76="","No planificado",IF(O76&lt;='Tablas y Glosario'!$F$1,"Atrasado",IF(M76="","En curso",IF(N76&gt;M76,"Inicio retrasado",IF(N76&lt;M76,"Inicio anticipado","En curso"))))),IF(M76="","COMPLETAR",IF('Tablas y Glosario'!$F$1&gt;=M76,"No iniciado","Programado")))))</f>
        <v>Programado</v>
      </c>
    </row>
    <row r="77" customFormat="false" ht="35.05" hidden="false" customHeight="false" outlineLevel="0" collapsed="false">
      <c r="A77" s="61"/>
      <c r="B77" s="60" t="s">
        <v>62</v>
      </c>
      <c r="C77" s="61" t="s">
        <v>156</v>
      </c>
      <c r="D77" s="60" t="s">
        <v>81</v>
      </c>
      <c r="E77" s="73" t="s">
        <v>253</v>
      </c>
      <c r="F77" s="73" t="s">
        <v>254</v>
      </c>
      <c r="G77" s="61" t="s">
        <v>119</v>
      </c>
      <c r="H77" s="74" t="s">
        <v>267</v>
      </c>
      <c r="I77" s="73" t="s">
        <v>268</v>
      </c>
      <c r="J77" s="73" t="s">
        <v>269</v>
      </c>
      <c r="K77" s="61" t="s">
        <v>71</v>
      </c>
      <c r="L77" s="61"/>
      <c r="M77" s="75" t="n">
        <v>46323</v>
      </c>
      <c r="N77" s="75"/>
      <c r="O77" s="75"/>
      <c r="P77" s="75"/>
      <c r="Q77" s="76" t="str">
        <f aca="false">IF(AND(M77="",N77="",O77="",P77=""),"COMPLETAR",IF(P77&lt;&gt;"",IF(O77="","Finalizado",IF(P77&lt;O77,"Finalizado anticipado",IF(P77=O77,"Finalizado","Finalizado con desfase"))),IF(N77&lt;&gt;"",IF(O77="","No planificado",IF(O77&lt;='Tablas y Glosario'!$F$1,"Atrasado",IF(M77="","En curso",IF(N77&gt;M77,"Inicio retrasado",IF(N77&lt;M77,"Inicio anticipado","En curso"))))),IF(M77="","COMPLETAR",IF('Tablas y Glosario'!$F$1&gt;=M77,"No iniciado","Programado")))))</f>
        <v>Programado</v>
      </c>
    </row>
    <row r="78" customFormat="false" ht="35.05" hidden="false" customHeight="false" outlineLevel="0" collapsed="false">
      <c r="A78" s="67"/>
      <c r="B78" s="68" t="s">
        <v>62</v>
      </c>
      <c r="C78" s="67" t="s">
        <v>156</v>
      </c>
      <c r="D78" s="68" t="s">
        <v>81</v>
      </c>
      <c r="E78" s="69" t="s">
        <v>253</v>
      </c>
      <c r="F78" s="69" t="s">
        <v>254</v>
      </c>
      <c r="G78" s="67" t="s">
        <v>120</v>
      </c>
      <c r="H78" s="70" t="s">
        <v>270</v>
      </c>
      <c r="I78" s="69" t="s">
        <v>271</v>
      </c>
      <c r="J78" s="69" t="s">
        <v>272</v>
      </c>
      <c r="K78" s="67" t="s">
        <v>70</v>
      </c>
      <c r="L78" s="67"/>
      <c r="M78" s="71" t="n">
        <v>46324</v>
      </c>
      <c r="N78" s="71"/>
      <c r="O78" s="71"/>
      <c r="P78" s="71"/>
      <c r="Q78" s="72" t="str">
        <f aca="false">IF(AND(M78="",N78="",O78="",P78=""),"COMPLETAR",IF(P78&lt;&gt;"",IF(O78="","Finalizado",IF(P78&lt;O78,"Finalizado anticipado",IF(P78=O78,"Finalizado","Finalizado con desfase"))),IF(N78&lt;&gt;"",IF(O78="","No planificado",IF(O78&lt;='Tablas y Glosario'!$F$1,"Atrasado",IF(M78="","En curso",IF(N78&gt;M78,"Inicio retrasado",IF(N78&lt;M78,"Inicio anticipado","En curso"))))),IF(M78="","COMPLETAR",IF('Tablas y Glosario'!$F$1&gt;=M78,"No iniciado","Programado")))))</f>
        <v>Programado</v>
      </c>
    </row>
    <row r="79" customFormat="false" ht="35.05" hidden="false" customHeight="false" outlineLevel="0" collapsed="false">
      <c r="A79" s="61"/>
      <c r="B79" s="60" t="s">
        <v>62</v>
      </c>
      <c r="C79" s="61" t="s">
        <v>156</v>
      </c>
      <c r="D79" s="60" t="s">
        <v>82</v>
      </c>
      <c r="E79" s="73" t="s">
        <v>273</v>
      </c>
      <c r="F79" s="73" t="s">
        <v>274</v>
      </c>
      <c r="G79" s="61" t="s">
        <v>121</v>
      </c>
      <c r="H79" s="74" t="s">
        <v>275</v>
      </c>
      <c r="I79" s="73" t="s">
        <v>276</v>
      </c>
      <c r="J79" s="73" t="s">
        <v>277</v>
      </c>
      <c r="K79" s="61" t="s">
        <v>71</v>
      </c>
      <c r="L79" s="61"/>
      <c r="M79" s="75" t="n">
        <v>46325</v>
      </c>
      <c r="N79" s="75"/>
      <c r="O79" s="75"/>
      <c r="P79" s="75"/>
      <c r="Q79" s="76" t="str">
        <f aca="false">IF(AND(M79="",N79="",O79="",P79=""),"COMPLETAR",IF(P79&lt;&gt;"",IF(O79="","Finalizado",IF(P79&lt;O79,"Finalizado anticipado",IF(P79=O79,"Finalizado","Finalizado con desfase"))),IF(N79&lt;&gt;"",IF(O79="","No planificado",IF(O79&lt;='Tablas y Glosario'!$F$1,"Atrasado",IF(M79="","En curso",IF(N79&gt;M79,"Inicio retrasado",IF(N79&lt;M79,"Inicio anticipado","En curso"))))),IF(M79="","COMPLETAR",IF('Tablas y Glosario'!$F$1&gt;=M79,"No iniciado","Programado")))))</f>
        <v>Programado</v>
      </c>
    </row>
    <row r="80" customFormat="false" ht="35.05" hidden="false" customHeight="false" outlineLevel="0" collapsed="false">
      <c r="A80" s="67"/>
      <c r="B80" s="68" t="s">
        <v>62</v>
      </c>
      <c r="C80" s="67" t="s">
        <v>156</v>
      </c>
      <c r="D80" s="68" t="s">
        <v>82</v>
      </c>
      <c r="E80" s="69" t="s">
        <v>273</v>
      </c>
      <c r="F80" s="69" t="s">
        <v>274</v>
      </c>
      <c r="G80" s="67" t="s">
        <v>122</v>
      </c>
      <c r="H80" s="70" t="s">
        <v>278</v>
      </c>
      <c r="I80" s="69" t="s">
        <v>279</v>
      </c>
      <c r="J80" s="69" t="s">
        <v>280</v>
      </c>
      <c r="K80" s="67" t="s">
        <v>71</v>
      </c>
      <c r="L80" s="67"/>
      <c r="M80" s="71" t="n">
        <v>46326</v>
      </c>
      <c r="N80" s="71"/>
      <c r="O80" s="71"/>
      <c r="P80" s="71"/>
      <c r="Q80" s="72" t="str">
        <f aca="false">IF(AND(M80="",N80="",O80="",P80=""),"COMPLETAR",IF(P80&lt;&gt;"",IF(O80="","Finalizado",IF(P80&lt;O80,"Finalizado anticipado",IF(P80=O80,"Finalizado","Finalizado con desfase"))),IF(N80&lt;&gt;"",IF(O80="","No planificado",IF(O80&lt;='Tablas y Glosario'!$F$1,"Atrasado",IF(M80="","En curso",IF(N80&gt;M80,"Inicio retrasado",IF(N80&lt;M80,"Inicio anticipado","En curso"))))),IF(M80="","COMPLETAR",IF('Tablas y Glosario'!$F$1&gt;=M80,"No iniciado","Programado")))))</f>
        <v>Programado</v>
      </c>
    </row>
    <row r="81" customFormat="false" ht="35.05" hidden="false" customHeight="false" outlineLevel="0" collapsed="false">
      <c r="A81" s="61"/>
      <c r="B81" s="60" t="s">
        <v>62</v>
      </c>
      <c r="C81" s="61" t="s">
        <v>156</v>
      </c>
      <c r="D81" s="60" t="s">
        <v>82</v>
      </c>
      <c r="E81" s="73" t="s">
        <v>273</v>
      </c>
      <c r="F81" s="73" t="s">
        <v>274</v>
      </c>
      <c r="G81" s="61" t="s">
        <v>123</v>
      </c>
      <c r="H81" s="74" t="s">
        <v>281</v>
      </c>
      <c r="I81" s="73" t="s">
        <v>282</v>
      </c>
      <c r="J81" s="73" t="s">
        <v>227</v>
      </c>
      <c r="K81" s="61" t="s">
        <v>71</v>
      </c>
      <c r="L81" s="61"/>
      <c r="M81" s="75" t="n">
        <v>46327</v>
      </c>
      <c r="N81" s="75"/>
      <c r="O81" s="75"/>
      <c r="P81" s="75"/>
      <c r="Q81" s="76" t="str">
        <f aca="false">IF(AND(M81="",N81="",O81="",P81=""),"COMPLETAR",IF(P81&lt;&gt;"",IF(O81="","Finalizado",IF(P81&lt;O81,"Finalizado anticipado",IF(P81=O81,"Finalizado","Finalizado con desfase"))),IF(N81&lt;&gt;"",IF(O81="","No planificado",IF(O81&lt;='Tablas y Glosario'!$F$1,"Atrasado",IF(M81="","En curso",IF(N81&gt;M81,"Inicio retrasado",IF(N81&lt;M81,"Inicio anticipado","En curso"))))),IF(M81="","COMPLETAR",IF('Tablas y Glosario'!$F$1&gt;=M81,"No iniciado","Programado")))))</f>
        <v>Programado</v>
      </c>
    </row>
    <row r="82" customFormat="false" ht="46.25" hidden="false" customHeight="false" outlineLevel="0" collapsed="false">
      <c r="A82" s="67"/>
      <c r="B82" s="68" t="s">
        <v>62</v>
      </c>
      <c r="C82" s="67" t="s">
        <v>156</v>
      </c>
      <c r="D82" s="68" t="s">
        <v>83</v>
      </c>
      <c r="E82" s="69" t="s">
        <v>283</v>
      </c>
      <c r="F82" s="69" t="s">
        <v>284</v>
      </c>
      <c r="G82" s="67" t="s">
        <v>124</v>
      </c>
      <c r="H82" s="70" t="s">
        <v>285</v>
      </c>
      <c r="I82" s="69" t="s">
        <v>286</v>
      </c>
      <c r="J82" s="69" t="s">
        <v>287</v>
      </c>
      <c r="K82" s="67" t="s">
        <v>70</v>
      </c>
      <c r="L82" s="67"/>
      <c r="M82" s="71" t="n">
        <v>46328</v>
      </c>
      <c r="N82" s="71"/>
      <c r="O82" s="71"/>
      <c r="P82" s="71"/>
      <c r="Q82" s="72" t="str">
        <f aca="false">IF(AND(M82="",N82="",O82="",P82=""),"COMPLETAR",IF(P82&lt;&gt;"",IF(O82="","Finalizado",IF(P82&lt;O82,"Finalizado anticipado",IF(P82=O82,"Finalizado","Finalizado con desfase"))),IF(N82&lt;&gt;"",IF(O82="","No planificado",IF(O82&lt;='Tablas y Glosario'!$F$1,"Atrasado",IF(M82="","En curso",IF(N82&gt;M82,"Inicio retrasado",IF(N82&lt;M82,"Inicio anticipado","En curso"))))),IF(M82="","COMPLETAR",IF('Tablas y Glosario'!$F$1&gt;=M82,"No iniciado","Programado")))))</f>
        <v>Programado</v>
      </c>
    </row>
    <row r="83" customFormat="false" ht="46.25" hidden="false" customHeight="false" outlineLevel="0" collapsed="false">
      <c r="A83" s="61"/>
      <c r="B83" s="60" t="s">
        <v>62</v>
      </c>
      <c r="C83" s="61" t="s">
        <v>156</v>
      </c>
      <c r="D83" s="60" t="s">
        <v>83</v>
      </c>
      <c r="E83" s="73" t="s">
        <v>283</v>
      </c>
      <c r="F83" s="73" t="s">
        <v>288</v>
      </c>
      <c r="G83" s="61" t="s">
        <v>125</v>
      </c>
      <c r="H83" s="74" t="s">
        <v>289</v>
      </c>
      <c r="I83" s="73" t="s">
        <v>290</v>
      </c>
      <c r="J83" s="73" t="s">
        <v>291</v>
      </c>
      <c r="K83" s="61" t="s">
        <v>70</v>
      </c>
      <c r="L83" s="61"/>
      <c r="M83" s="75" t="n">
        <v>46329</v>
      </c>
      <c r="N83" s="75"/>
      <c r="O83" s="75"/>
      <c r="P83" s="75"/>
      <c r="Q83" s="76" t="str">
        <f aca="false">IF(AND(M83="",N83="",O83="",P83=""),"COMPLETAR",IF(P83&lt;&gt;"",IF(O83="","Finalizado",IF(P83&lt;O83,"Finalizado anticipado",IF(P83=O83,"Finalizado","Finalizado con desfase"))),IF(N83&lt;&gt;"",IF(O83="","No planificado",IF(O83&lt;='Tablas y Glosario'!$F$1,"Atrasado",IF(M83="","En curso",IF(N83&gt;M83,"Inicio retrasado",IF(N83&lt;M83,"Inicio anticipado","En curso"))))),IF(M83="","COMPLETAR",IF('Tablas y Glosario'!$F$1&gt;=M83,"No iniciado","Programado")))))</f>
        <v>Programado</v>
      </c>
    </row>
    <row r="84" customFormat="false" ht="46.25" hidden="false" customHeight="false" outlineLevel="0" collapsed="false">
      <c r="A84" s="67"/>
      <c r="B84" s="68" t="s">
        <v>62</v>
      </c>
      <c r="C84" s="67" t="s">
        <v>156</v>
      </c>
      <c r="D84" s="68" t="s">
        <v>83</v>
      </c>
      <c r="E84" s="69" t="s">
        <v>283</v>
      </c>
      <c r="F84" s="69" t="s">
        <v>288</v>
      </c>
      <c r="G84" s="67" t="s">
        <v>126</v>
      </c>
      <c r="H84" s="70" t="s">
        <v>292</v>
      </c>
      <c r="I84" s="69" t="s">
        <v>293</v>
      </c>
      <c r="J84" s="69" t="s">
        <v>294</v>
      </c>
      <c r="K84" s="67" t="s">
        <v>70</v>
      </c>
      <c r="L84" s="67"/>
      <c r="M84" s="71" t="n">
        <v>46330</v>
      </c>
      <c r="N84" s="71"/>
      <c r="O84" s="71"/>
      <c r="P84" s="71"/>
      <c r="Q84" s="72" t="str">
        <f aca="false">IF(AND(M84="",N84="",O84="",P84=""),"COMPLETAR",IF(P84&lt;&gt;"",IF(O84="","Finalizado",IF(P84&lt;O84,"Finalizado anticipado",IF(P84=O84,"Finalizado","Finalizado con desfase"))),IF(N84&lt;&gt;"",IF(O84="","No planificado",IF(O84&lt;='Tablas y Glosario'!$F$1,"Atrasado",IF(M84="","En curso",IF(N84&gt;M84,"Inicio retrasado",IF(N84&lt;M84,"Inicio anticipado","En curso"))))),IF(M84="","COMPLETAR",IF('Tablas y Glosario'!$F$1&gt;=M84,"No iniciado","Programado")))))</f>
        <v>Programado</v>
      </c>
    </row>
    <row r="85" customFormat="false" ht="46.25" hidden="false" customHeight="false" outlineLevel="0" collapsed="false">
      <c r="A85" s="61"/>
      <c r="B85" s="60" t="s">
        <v>62</v>
      </c>
      <c r="C85" s="61" t="s">
        <v>156</v>
      </c>
      <c r="D85" s="60" t="s">
        <v>83</v>
      </c>
      <c r="E85" s="73" t="s">
        <v>283</v>
      </c>
      <c r="F85" s="73" t="s">
        <v>288</v>
      </c>
      <c r="G85" s="61" t="s">
        <v>127</v>
      </c>
      <c r="H85" s="74" t="s">
        <v>295</v>
      </c>
      <c r="I85" s="73" t="s">
        <v>296</v>
      </c>
      <c r="J85" s="73" t="s">
        <v>297</v>
      </c>
      <c r="K85" s="61" t="s">
        <v>70</v>
      </c>
      <c r="L85" s="61"/>
      <c r="M85" s="75" t="n">
        <v>46331</v>
      </c>
      <c r="N85" s="75"/>
      <c r="O85" s="75"/>
      <c r="P85" s="75"/>
      <c r="Q85" s="76" t="str">
        <f aca="false">IF(AND(M85="",N85="",O85="",P85=""),"COMPLETAR",IF(P85&lt;&gt;"",IF(O85="","Finalizado",IF(P85&lt;O85,"Finalizado anticipado",IF(P85=O85,"Finalizado","Finalizado con desfase"))),IF(N85&lt;&gt;"",IF(O85="","No planificado",IF(O85&lt;='Tablas y Glosario'!$F$1,"Atrasado",IF(M85="","En curso",IF(N85&gt;M85,"Inicio retrasado",IF(N85&lt;M85,"Inicio anticipado","En curso"))))),IF(M85="","COMPLETAR",IF('Tablas y Glosario'!$F$1&gt;=M85,"No iniciado","Programado")))))</f>
        <v>Programado</v>
      </c>
    </row>
    <row r="86" customFormat="false" ht="57.45" hidden="false" customHeight="false" outlineLevel="0" collapsed="false">
      <c r="A86" s="67"/>
      <c r="B86" s="68" t="s">
        <v>64</v>
      </c>
      <c r="C86" s="67" t="s">
        <v>156</v>
      </c>
      <c r="D86" s="68" t="s">
        <v>74</v>
      </c>
      <c r="E86" s="69" t="s">
        <v>157</v>
      </c>
      <c r="F86" s="69" t="s">
        <v>158</v>
      </c>
      <c r="G86" s="67" t="s">
        <v>87</v>
      </c>
      <c r="H86" s="70" t="s">
        <v>159</v>
      </c>
      <c r="I86" s="69" t="s">
        <v>160</v>
      </c>
      <c r="J86" s="69" t="s">
        <v>161</v>
      </c>
      <c r="K86" s="67" t="s">
        <v>70</v>
      </c>
      <c r="L86" s="67"/>
      <c r="M86" s="71" t="n">
        <v>46332</v>
      </c>
      <c r="N86" s="71"/>
      <c r="O86" s="71"/>
      <c r="P86" s="71"/>
      <c r="Q86" s="72" t="str">
        <f aca="false">IF(AND(M86="",N86="",O86="",P86=""),"COMPLETAR",IF(P86&lt;&gt;"",IF(O86="","Finalizado",IF(P86&lt;O86,"Finalizado anticipado",IF(P86=O86,"Finalizado","Finalizado con desfase"))),IF(N86&lt;&gt;"",IF(O86="","No planificado",IF(O86&lt;='Tablas y Glosario'!$F$1,"Atrasado",IF(M86="","En curso",IF(N86&gt;M86,"Inicio retrasado",IF(N86&lt;M86,"Inicio anticipado","En curso"))))),IF(M86="","COMPLETAR",IF('Tablas y Glosario'!$F$1&gt;=M86,"No iniciado","Programado")))))</f>
        <v>Programado</v>
      </c>
    </row>
    <row r="87" customFormat="false" ht="57.45" hidden="false" customHeight="false" outlineLevel="0" collapsed="false">
      <c r="A87" s="61"/>
      <c r="B87" s="60" t="s">
        <v>64</v>
      </c>
      <c r="C87" s="61" t="s">
        <v>156</v>
      </c>
      <c r="D87" s="60" t="s">
        <v>74</v>
      </c>
      <c r="E87" s="73" t="s">
        <v>157</v>
      </c>
      <c r="F87" s="73" t="s">
        <v>158</v>
      </c>
      <c r="G87" s="61" t="s">
        <v>88</v>
      </c>
      <c r="H87" s="74" t="s">
        <v>162</v>
      </c>
      <c r="I87" s="73" t="s">
        <v>163</v>
      </c>
      <c r="J87" s="73" t="s">
        <v>164</v>
      </c>
      <c r="K87" s="61" t="s">
        <v>70</v>
      </c>
      <c r="L87" s="61"/>
      <c r="M87" s="75" t="n">
        <v>46333</v>
      </c>
      <c r="N87" s="75"/>
      <c r="O87" s="75"/>
      <c r="P87" s="75"/>
      <c r="Q87" s="76" t="str">
        <f aca="false">IF(AND(M87="",N87="",O87="",P87=""),"COMPLETAR",IF(P87&lt;&gt;"",IF(O87="","Finalizado",IF(P87&lt;O87,"Finalizado anticipado",IF(P87=O87,"Finalizado","Finalizado con desfase"))),IF(N87&lt;&gt;"",IF(O87="","No planificado",IF(O87&lt;='Tablas y Glosario'!$F$1,"Atrasado",IF(M87="","En curso",IF(N87&gt;M87,"Inicio retrasado",IF(N87&lt;M87,"Inicio anticipado","En curso"))))),IF(M87="","COMPLETAR",IF('Tablas y Glosario'!$F$1&gt;=M87,"No iniciado","Programado")))))</f>
        <v>Programado</v>
      </c>
    </row>
    <row r="88" customFormat="false" ht="57.45" hidden="false" customHeight="false" outlineLevel="0" collapsed="false">
      <c r="A88" s="67"/>
      <c r="B88" s="68" t="s">
        <v>64</v>
      </c>
      <c r="C88" s="67" t="s">
        <v>156</v>
      </c>
      <c r="D88" s="68" t="s">
        <v>74</v>
      </c>
      <c r="E88" s="69" t="s">
        <v>157</v>
      </c>
      <c r="F88" s="69" t="s">
        <v>158</v>
      </c>
      <c r="G88" s="67" t="s">
        <v>89</v>
      </c>
      <c r="H88" s="70" t="s">
        <v>165</v>
      </c>
      <c r="I88" s="69" t="s">
        <v>166</v>
      </c>
      <c r="J88" s="69" t="s">
        <v>167</v>
      </c>
      <c r="K88" s="67" t="s">
        <v>70</v>
      </c>
      <c r="L88" s="67"/>
      <c r="M88" s="71" t="n">
        <v>46334</v>
      </c>
      <c r="N88" s="71"/>
      <c r="O88" s="71"/>
      <c r="P88" s="71"/>
      <c r="Q88" s="72" t="str">
        <f aca="false">IF(AND(M88="",N88="",O88="",P88=""),"COMPLETAR",IF(P88&lt;&gt;"",IF(O88="","Finalizado",IF(P88&lt;O88,"Finalizado anticipado",IF(P88=O88,"Finalizado","Finalizado con desfase"))),IF(N88&lt;&gt;"",IF(O88="","No planificado",IF(O88&lt;='Tablas y Glosario'!$F$1,"Atrasado",IF(M88="","En curso",IF(N88&gt;M88,"Inicio retrasado",IF(N88&lt;M88,"Inicio anticipado","En curso"))))),IF(M88="","COMPLETAR",IF('Tablas y Glosario'!$F$1&gt;=M88,"No iniciado","Programado")))))</f>
        <v>Programado</v>
      </c>
    </row>
    <row r="89" customFormat="false" ht="57.45" hidden="false" customHeight="false" outlineLevel="0" collapsed="false">
      <c r="A89" s="61"/>
      <c r="B89" s="60" t="s">
        <v>64</v>
      </c>
      <c r="C89" s="61" t="s">
        <v>156</v>
      </c>
      <c r="D89" s="60" t="s">
        <v>74</v>
      </c>
      <c r="E89" s="73" t="s">
        <v>157</v>
      </c>
      <c r="F89" s="73" t="s">
        <v>158</v>
      </c>
      <c r="G89" s="61" t="s">
        <v>90</v>
      </c>
      <c r="H89" s="74" t="s">
        <v>168</v>
      </c>
      <c r="I89" s="73" t="s">
        <v>169</v>
      </c>
      <c r="J89" s="73" t="s">
        <v>170</v>
      </c>
      <c r="K89" s="61" t="s">
        <v>70</v>
      </c>
      <c r="L89" s="61"/>
      <c r="M89" s="75" t="n">
        <v>46335</v>
      </c>
      <c r="N89" s="75"/>
      <c r="O89" s="75"/>
      <c r="P89" s="75"/>
      <c r="Q89" s="76" t="str">
        <f aca="false">IF(AND(M89="",N89="",O89="",P89=""),"COMPLETAR",IF(P89&lt;&gt;"",IF(O89="","Finalizado",IF(P89&lt;O89,"Finalizado anticipado",IF(P89=O89,"Finalizado","Finalizado con desfase"))),IF(N89&lt;&gt;"",IF(O89="","No planificado",IF(O89&lt;='Tablas y Glosario'!$F$1,"Atrasado",IF(M89="","En curso",IF(N89&gt;M89,"Inicio retrasado",IF(N89&lt;M89,"Inicio anticipado","En curso"))))),IF(M89="","COMPLETAR",IF('Tablas y Glosario'!$F$1&gt;=M89,"No iniciado","Programado")))))</f>
        <v>Programado</v>
      </c>
    </row>
    <row r="90" customFormat="false" ht="46.25" hidden="false" customHeight="false" outlineLevel="0" collapsed="false">
      <c r="A90" s="67"/>
      <c r="B90" s="68" t="s">
        <v>64</v>
      </c>
      <c r="C90" s="67" t="s">
        <v>156</v>
      </c>
      <c r="D90" s="68" t="s">
        <v>75</v>
      </c>
      <c r="E90" s="69" t="s">
        <v>171</v>
      </c>
      <c r="F90" s="69" t="s">
        <v>172</v>
      </c>
      <c r="G90" s="67" t="s">
        <v>91</v>
      </c>
      <c r="H90" s="70" t="s">
        <v>173</v>
      </c>
      <c r="I90" s="69" t="s">
        <v>174</v>
      </c>
      <c r="J90" s="69" t="s">
        <v>175</v>
      </c>
      <c r="K90" s="67" t="s">
        <v>70</v>
      </c>
      <c r="L90" s="67"/>
      <c r="M90" s="71" t="n">
        <v>46336</v>
      </c>
      <c r="N90" s="71"/>
      <c r="O90" s="71"/>
      <c r="P90" s="71"/>
      <c r="Q90" s="72" t="str">
        <f aca="false">IF(AND(M90="",N90="",O90="",P90=""),"COMPLETAR",IF(P90&lt;&gt;"",IF(O90="","Finalizado",IF(P90&lt;O90,"Finalizado anticipado",IF(P90=O90,"Finalizado","Finalizado con desfase"))),IF(N90&lt;&gt;"",IF(O90="","No planificado",IF(O90&lt;='Tablas y Glosario'!$F$1,"Atrasado",IF(M90="","En curso",IF(N90&gt;M90,"Inicio retrasado",IF(N90&lt;M90,"Inicio anticipado","En curso"))))),IF(M90="","COMPLETAR",IF('Tablas y Glosario'!$F$1&gt;=M90,"No iniciado","Programado")))))</f>
        <v>Programado</v>
      </c>
    </row>
    <row r="91" customFormat="false" ht="46.25" hidden="false" customHeight="false" outlineLevel="0" collapsed="false">
      <c r="A91" s="61"/>
      <c r="B91" s="60" t="s">
        <v>64</v>
      </c>
      <c r="C91" s="61" t="s">
        <v>156</v>
      </c>
      <c r="D91" s="60" t="s">
        <v>75</v>
      </c>
      <c r="E91" s="73" t="s">
        <v>171</v>
      </c>
      <c r="F91" s="73" t="s">
        <v>176</v>
      </c>
      <c r="G91" s="61" t="s">
        <v>92</v>
      </c>
      <c r="H91" s="74" t="s">
        <v>177</v>
      </c>
      <c r="I91" s="73" t="s">
        <v>178</v>
      </c>
      <c r="J91" s="73" t="s">
        <v>175</v>
      </c>
      <c r="K91" s="61" t="s">
        <v>70</v>
      </c>
      <c r="L91" s="61"/>
      <c r="M91" s="75" t="n">
        <v>46337</v>
      </c>
      <c r="N91" s="75"/>
      <c r="O91" s="75"/>
      <c r="P91" s="75"/>
      <c r="Q91" s="76" t="str">
        <f aca="false">IF(AND(M91="",N91="",O91="",P91=""),"COMPLETAR",IF(P91&lt;&gt;"",IF(O91="","Finalizado",IF(P91&lt;O91,"Finalizado anticipado",IF(P91=O91,"Finalizado","Finalizado con desfase"))),IF(N91&lt;&gt;"",IF(O91="","No planificado",IF(O91&lt;='Tablas y Glosario'!$F$1,"Atrasado",IF(M91="","En curso",IF(N91&gt;M91,"Inicio retrasado",IF(N91&lt;M91,"Inicio anticipado","En curso"))))),IF(M91="","COMPLETAR",IF('Tablas y Glosario'!$F$1&gt;=M91,"No iniciado","Programado")))))</f>
        <v>Programado</v>
      </c>
    </row>
    <row r="92" customFormat="false" ht="46.25" hidden="false" customHeight="false" outlineLevel="0" collapsed="false">
      <c r="A92" s="67"/>
      <c r="B92" s="68" t="s">
        <v>64</v>
      </c>
      <c r="C92" s="67" t="s">
        <v>156</v>
      </c>
      <c r="D92" s="68" t="s">
        <v>75</v>
      </c>
      <c r="E92" s="69" t="s">
        <v>171</v>
      </c>
      <c r="F92" s="69" t="s">
        <v>176</v>
      </c>
      <c r="G92" s="67" t="s">
        <v>93</v>
      </c>
      <c r="H92" s="70" t="s">
        <v>179</v>
      </c>
      <c r="I92" s="69" t="s">
        <v>180</v>
      </c>
      <c r="J92" s="69" t="s">
        <v>181</v>
      </c>
      <c r="K92" s="67" t="s">
        <v>70</v>
      </c>
      <c r="L92" s="67"/>
      <c r="M92" s="71" t="n">
        <v>46338</v>
      </c>
      <c r="N92" s="71"/>
      <c r="O92" s="71"/>
      <c r="P92" s="71"/>
      <c r="Q92" s="72" t="str">
        <f aca="false">IF(AND(M92="",N92="",O92="",P92=""),"COMPLETAR",IF(P92&lt;&gt;"",IF(O92="","Finalizado",IF(P92&lt;O92,"Finalizado anticipado",IF(P92=O92,"Finalizado","Finalizado con desfase"))),IF(N92&lt;&gt;"",IF(O92="","No planificado",IF(O92&lt;='Tablas y Glosario'!$F$1,"Atrasado",IF(M92="","En curso",IF(N92&gt;M92,"Inicio retrasado",IF(N92&lt;M92,"Inicio anticipado","En curso"))))),IF(M92="","COMPLETAR",IF('Tablas y Glosario'!$F$1&gt;=M92,"No iniciado","Programado")))))</f>
        <v>Programado</v>
      </c>
    </row>
    <row r="93" customFormat="false" ht="46.25" hidden="false" customHeight="false" outlineLevel="0" collapsed="false">
      <c r="A93" s="61"/>
      <c r="B93" s="60" t="s">
        <v>64</v>
      </c>
      <c r="C93" s="61" t="s">
        <v>156</v>
      </c>
      <c r="D93" s="60" t="s">
        <v>75</v>
      </c>
      <c r="E93" s="73" t="s">
        <v>171</v>
      </c>
      <c r="F93" s="73" t="s">
        <v>176</v>
      </c>
      <c r="G93" s="61" t="s">
        <v>94</v>
      </c>
      <c r="H93" s="74" t="s">
        <v>182</v>
      </c>
      <c r="I93" s="73" t="s">
        <v>183</v>
      </c>
      <c r="J93" s="73" t="s">
        <v>184</v>
      </c>
      <c r="K93" s="61" t="s">
        <v>70</v>
      </c>
      <c r="L93" s="61"/>
      <c r="M93" s="75" t="n">
        <v>46339</v>
      </c>
      <c r="N93" s="75"/>
      <c r="O93" s="75"/>
      <c r="P93" s="75"/>
      <c r="Q93" s="76" t="str">
        <f aca="false">IF(AND(M93="",N93="",O93="",P93=""),"COMPLETAR",IF(P93&lt;&gt;"",IF(O93="","Finalizado",IF(P93&lt;O93,"Finalizado anticipado",IF(P93=O93,"Finalizado","Finalizado con desfase"))),IF(N93&lt;&gt;"",IF(O93="","No planificado",IF(O93&lt;='Tablas y Glosario'!$F$1,"Atrasado",IF(M93="","En curso",IF(N93&gt;M93,"Inicio retrasado",IF(N93&lt;M93,"Inicio anticipado","En curso"))))),IF(M93="","COMPLETAR",IF('Tablas y Glosario'!$F$1&gt;=M93,"No iniciado","Programado")))))</f>
        <v>Programado</v>
      </c>
    </row>
    <row r="94" customFormat="false" ht="46.25" hidden="false" customHeight="false" outlineLevel="0" collapsed="false">
      <c r="A94" s="67"/>
      <c r="B94" s="68" t="s">
        <v>64</v>
      </c>
      <c r="C94" s="67" t="s">
        <v>156</v>
      </c>
      <c r="D94" s="68" t="s">
        <v>75</v>
      </c>
      <c r="E94" s="69" t="s">
        <v>171</v>
      </c>
      <c r="F94" s="69" t="s">
        <v>176</v>
      </c>
      <c r="G94" s="67" t="s">
        <v>95</v>
      </c>
      <c r="H94" s="70" t="s">
        <v>185</v>
      </c>
      <c r="I94" s="69" t="s">
        <v>186</v>
      </c>
      <c r="J94" s="69" t="s">
        <v>187</v>
      </c>
      <c r="K94" s="67" t="s">
        <v>70</v>
      </c>
      <c r="L94" s="67"/>
      <c r="M94" s="71" t="n">
        <v>46340</v>
      </c>
      <c r="N94" s="71"/>
      <c r="O94" s="71"/>
      <c r="P94" s="71"/>
      <c r="Q94" s="72" t="str">
        <f aca="false">IF(AND(M94="",N94="",O94="",P94=""),"COMPLETAR",IF(P94&lt;&gt;"",IF(O94="","Finalizado",IF(P94&lt;O94,"Finalizado anticipado",IF(P94=O94,"Finalizado","Finalizado con desfase"))),IF(N94&lt;&gt;"",IF(O94="","No planificado",IF(O94&lt;='Tablas y Glosario'!$F$1,"Atrasado",IF(M94="","En curso",IF(N94&gt;M94,"Inicio retrasado",IF(N94&lt;M94,"Inicio anticipado","En curso"))))),IF(M94="","COMPLETAR",IF('Tablas y Glosario'!$F$1&gt;=M94,"No iniciado","Programado")))))</f>
        <v>Programado</v>
      </c>
    </row>
    <row r="95" customFormat="false" ht="35.05" hidden="false" customHeight="false" outlineLevel="0" collapsed="false">
      <c r="A95" s="61"/>
      <c r="B95" s="60" t="s">
        <v>64</v>
      </c>
      <c r="C95" s="61" t="s">
        <v>156</v>
      </c>
      <c r="D95" s="60" t="s">
        <v>76</v>
      </c>
      <c r="E95" s="73" t="s">
        <v>188</v>
      </c>
      <c r="F95" s="73" t="s">
        <v>189</v>
      </c>
      <c r="G95" s="61" t="s">
        <v>96</v>
      </c>
      <c r="H95" s="74" t="s">
        <v>190</v>
      </c>
      <c r="I95" s="73" t="s">
        <v>191</v>
      </c>
      <c r="J95" s="73" t="s">
        <v>192</v>
      </c>
      <c r="K95" s="61" t="s">
        <v>71</v>
      </c>
      <c r="L95" s="61"/>
      <c r="M95" s="75" t="n">
        <v>46341</v>
      </c>
      <c r="N95" s="75"/>
      <c r="O95" s="75"/>
      <c r="P95" s="75"/>
      <c r="Q95" s="76" t="str">
        <f aca="false">IF(AND(M95="",N95="",O95="",P95=""),"COMPLETAR",IF(P95&lt;&gt;"",IF(O95="","Finalizado",IF(P95&lt;O95,"Finalizado anticipado",IF(P95=O95,"Finalizado","Finalizado con desfase"))),IF(N95&lt;&gt;"",IF(O95="","No planificado",IF(O95&lt;='Tablas y Glosario'!$F$1,"Atrasado",IF(M95="","En curso",IF(N95&gt;M95,"Inicio retrasado",IF(N95&lt;M95,"Inicio anticipado","En curso"))))),IF(M95="","COMPLETAR",IF('Tablas y Glosario'!$F$1&gt;=M95,"No iniciado","Programado")))))</f>
        <v>Programado</v>
      </c>
    </row>
    <row r="96" customFormat="false" ht="35.05" hidden="false" customHeight="false" outlineLevel="0" collapsed="false">
      <c r="A96" s="67"/>
      <c r="B96" s="68" t="s">
        <v>64</v>
      </c>
      <c r="C96" s="67" t="s">
        <v>156</v>
      </c>
      <c r="D96" s="68" t="s">
        <v>76</v>
      </c>
      <c r="E96" s="69" t="s">
        <v>188</v>
      </c>
      <c r="F96" s="69" t="s">
        <v>189</v>
      </c>
      <c r="G96" s="67" t="s">
        <v>97</v>
      </c>
      <c r="H96" s="70" t="s">
        <v>193</v>
      </c>
      <c r="I96" s="69" t="s">
        <v>110</v>
      </c>
      <c r="J96" s="69" t="s">
        <v>192</v>
      </c>
      <c r="K96" s="67" t="s">
        <v>70</v>
      </c>
      <c r="L96" s="67"/>
      <c r="M96" s="71" t="n">
        <v>46342</v>
      </c>
      <c r="N96" s="71"/>
      <c r="O96" s="71"/>
      <c r="P96" s="71"/>
      <c r="Q96" s="72" t="str">
        <f aca="false">IF(AND(M96="",N96="",O96="",P96=""),"COMPLETAR",IF(P96&lt;&gt;"",IF(O96="","Finalizado",IF(P96&lt;O96,"Finalizado anticipado",IF(P96=O96,"Finalizado","Finalizado con desfase"))),IF(N96&lt;&gt;"",IF(O96="","No planificado",IF(O96&lt;='Tablas y Glosario'!$F$1,"Atrasado",IF(M96="","En curso",IF(N96&gt;M96,"Inicio retrasado",IF(N96&lt;M96,"Inicio anticipado","En curso"))))),IF(M96="","COMPLETAR",IF('Tablas y Glosario'!$F$1&gt;=M96,"No iniciado","Programado")))))</f>
        <v>Programado</v>
      </c>
    </row>
    <row r="97" customFormat="false" ht="35.05" hidden="false" customHeight="false" outlineLevel="0" collapsed="false">
      <c r="A97" s="61"/>
      <c r="B97" s="60" t="s">
        <v>64</v>
      </c>
      <c r="C97" s="61" t="s">
        <v>156</v>
      </c>
      <c r="D97" s="60" t="s">
        <v>76</v>
      </c>
      <c r="E97" s="73" t="s">
        <v>188</v>
      </c>
      <c r="F97" s="73" t="s">
        <v>189</v>
      </c>
      <c r="G97" s="61" t="s">
        <v>98</v>
      </c>
      <c r="H97" s="74" t="s">
        <v>194</v>
      </c>
      <c r="I97" s="73" t="s">
        <v>195</v>
      </c>
      <c r="J97" s="73" t="s">
        <v>196</v>
      </c>
      <c r="K97" s="61" t="s">
        <v>71</v>
      </c>
      <c r="L97" s="61"/>
      <c r="M97" s="75" t="n">
        <v>46343</v>
      </c>
      <c r="N97" s="75"/>
      <c r="O97" s="75"/>
      <c r="P97" s="75"/>
      <c r="Q97" s="76" t="str">
        <f aca="false">IF(AND(M97="",N97="",O97="",P97=""),"COMPLETAR",IF(P97&lt;&gt;"",IF(O97="","Finalizado",IF(P97&lt;O97,"Finalizado anticipado",IF(P97=O97,"Finalizado","Finalizado con desfase"))),IF(N97&lt;&gt;"",IF(O97="","No planificado",IF(O97&lt;='Tablas y Glosario'!$F$1,"Atrasado",IF(M97="","En curso",IF(N97&gt;M97,"Inicio retrasado",IF(N97&lt;M97,"Inicio anticipado","En curso"))))),IF(M97="","COMPLETAR",IF('Tablas y Glosario'!$F$1&gt;=M97,"No iniciado","Programado")))))</f>
        <v>Programado</v>
      </c>
    </row>
    <row r="98" customFormat="false" ht="35.05" hidden="false" customHeight="false" outlineLevel="0" collapsed="false">
      <c r="A98" s="67"/>
      <c r="B98" s="68" t="s">
        <v>64</v>
      </c>
      <c r="C98" s="67" t="s">
        <v>156</v>
      </c>
      <c r="D98" s="68" t="s">
        <v>76</v>
      </c>
      <c r="E98" s="69" t="s">
        <v>188</v>
      </c>
      <c r="F98" s="69" t="s">
        <v>189</v>
      </c>
      <c r="G98" s="67" t="s">
        <v>99</v>
      </c>
      <c r="H98" s="70" t="s">
        <v>197</v>
      </c>
      <c r="I98" s="69" t="s">
        <v>110</v>
      </c>
      <c r="J98" s="69" t="s">
        <v>196</v>
      </c>
      <c r="K98" s="67" t="s">
        <v>70</v>
      </c>
      <c r="L98" s="67"/>
      <c r="M98" s="71" t="n">
        <v>46344</v>
      </c>
      <c r="N98" s="71"/>
      <c r="O98" s="71"/>
      <c r="P98" s="71"/>
      <c r="Q98" s="72" t="str">
        <f aca="false">IF(AND(M98="",N98="",O98="",P98=""),"COMPLETAR",IF(P98&lt;&gt;"",IF(O98="","Finalizado",IF(P98&lt;O98,"Finalizado anticipado",IF(P98=O98,"Finalizado","Finalizado con desfase"))),IF(N98&lt;&gt;"",IF(O98="","No planificado",IF(O98&lt;='Tablas y Glosario'!$F$1,"Atrasado",IF(M98="","En curso",IF(N98&gt;M98,"Inicio retrasado",IF(N98&lt;M98,"Inicio anticipado","En curso"))))),IF(M98="","COMPLETAR",IF('Tablas y Glosario'!$F$1&gt;=M98,"No iniciado","Programado")))))</f>
        <v>Programado</v>
      </c>
    </row>
    <row r="99" customFormat="false" ht="35.05" hidden="false" customHeight="false" outlineLevel="0" collapsed="false">
      <c r="A99" s="61"/>
      <c r="B99" s="60" t="s">
        <v>64</v>
      </c>
      <c r="C99" s="61" t="s">
        <v>156</v>
      </c>
      <c r="D99" s="60" t="s">
        <v>77</v>
      </c>
      <c r="E99" s="73" t="s">
        <v>198</v>
      </c>
      <c r="F99" s="73" t="s">
        <v>199</v>
      </c>
      <c r="G99" s="61" t="s">
        <v>100</v>
      </c>
      <c r="H99" s="74" t="s">
        <v>200</v>
      </c>
      <c r="I99" s="73" t="s">
        <v>201</v>
      </c>
      <c r="J99" s="73" t="s">
        <v>202</v>
      </c>
      <c r="K99" s="61" t="s">
        <v>70</v>
      </c>
      <c r="L99" s="61"/>
      <c r="M99" s="75" t="n">
        <v>46345</v>
      </c>
      <c r="N99" s="75"/>
      <c r="O99" s="75"/>
      <c r="P99" s="75"/>
      <c r="Q99" s="76" t="str">
        <f aca="false">IF(AND(M99="",N99="",O99="",P99=""),"COMPLETAR",IF(P99&lt;&gt;"",IF(O99="","Finalizado",IF(P99&lt;O99,"Finalizado anticipado",IF(P99=O99,"Finalizado","Finalizado con desfase"))),IF(N99&lt;&gt;"",IF(O99="","No planificado",IF(O99&lt;='Tablas y Glosario'!$F$1,"Atrasado",IF(M99="","En curso",IF(N99&gt;M99,"Inicio retrasado",IF(N99&lt;M99,"Inicio anticipado","En curso"))))),IF(M99="","COMPLETAR",IF('Tablas y Glosario'!$F$1&gt;=M99,"No iniciado","Programado")))))</f>
        <v>Programado</v>
      </c>
    </row>
    <row r="100" customFormat="false" ht="23.85" hidden="false" customHeight="false" outlineLevel="0" collapsed="false">
      <c r="A100" s="67"/>
      <c r="B100" s="68" t="s">
        <v>64</v>
      </c>
      <c r="C100" s="67" t="s">
        <v>156</v>
      </c>
      <c r="D100" s="68" t="s">
        <v>78</v>
      </c>
      <c r="E100" s="69" t="s">
        <v>203</v>
      </c>
      <c r="F100" s="69" t="s">
        <v>204</v>
      </c>
      <c r="G100" s="67" t="s">
        <v>101</v>
      </c>
      <c r="H100" s="70" t="s">
        <v>205</v>
      </c>
      <c r="I100" s="69" t="s">
        <v>206</v>
      </c>
      <c r="J100" s="69" t="s">
        <v>207</v>
      </c>
      <c r="K100" s="67" t="s">
        <v>71</v>
      </c>
      <c r="L100" s="67"/>
      <c r="M100" s="71" t="n">
        <v>46346</v>
      </c>
      <c r="N100" s="71"/>
      <c r="O100" s="71"/>
      <c r="P100" s="71"/>
      <c r="Q100" s="72" t="str">
        <f aca="false">IF(AND(M100="",N100="",O100="",P100=""),"COMPLETAR",IF(P100&lt;&gt;"",IF(O100="","Finalizado",IF(P100&lt;O100,"Finalizado anticipado",IF(P100=O100,"Finalizado","Finalizado con desfase"))),IF(N100&lt;&gt;"",IF(O100="","No planificado",IF(O100&lt;='Tablas y Glosario'!$F$1,"Atrasado",IF(M100="","En curso",IF(N100&gt;M100,"Inicio retrasado",IF(N100&lt;M100,"Inicio anticipado","En curso"))))),IF(M100="","COMPLETAR",IF('Tablas y Glosario'!$F$1&gt;=M100,"No iniciado","Programado")))))</f>
        <v>Programado</v>
      </c>
    </row>
    <row r="101" customFormat="false" ht="23.85" hidden="false" customHeight="false" outlineLevel="0" collapsed="false">
      <c r="A101" s="61"/>
      <c r="B101" s="60" t="s">
        <v>64</v>
      </c>
      <c r="C101" s="61" t="s">
        <v>156</v>
      </c>
      <c r="D101" s="60" t="s">
        <v>78</v>
      </c>
      <c r="E101" s="73" t="s">
        <v>203</v>
      </c>
      <c r="F101" s="73" t="s">
        <v>204</v>
      </c>
      <c r="G101" s="61" t="s">
        <v>102</v>
      </c>
      <c r="H101" s="74" t="s">
        <v>208</v>
      </c>
      <c r="I101" s="73" t="s">
        <v>209</v>
      </c>
      <c r="J101" s="73" t="s">
        <v>210</v>
      </c>
      <c r="K101" s="61" t="s">
        <v>71</v>
      </c>
      <c r="L101" s="61"/>
      <c r="M101" s="75" t="n">
        <v>46347</v>
      </c>
      <c r="N101" s="75"/>
      <c r="O101" s="75"/>
      <c r="P101" s="75"/>
      <c r="Q101" s="76" t="str">
        <f aca="false">IF(AND(M101="",N101="",O101="",P101=""),"COMPLETAR",IF(P101&lt;&gt;"",IF(O101="","Finalizado",IF(P101&lt;O101,"Finalizado anticipado",IF(P101=O101,"Finalizado","Finalizado con desfase"))),IF(N101&lt;&gt;"",IF(O101="","No planificado",IF(O101&lt;='Tablas y Glosario'!$F$1,"Atrasado",IF(M101="","En curso",IF(N101&gt;M101,"Inicio retrasado",IF(N101&lt;M101,"Inicio anticipado","En curso"))))),IF(M101="","COMPLETAR",IF('Tablas y Glosario'!$F$1&gt;=M101,"No iniciado","Programado")))))</f>
        <v>Programado</v>
      </c>
    </row>
    <row r="102" customFormat="false" ht="23.85" hidden="false" customHeight="false" outlineLevel="0" collapsed="false">
      <c r="A102" s="67"/>
      <c r="B102" s="68" t="s">
        <v>64</v>
      </c>
      <c r="C102" s="67" t="s">
        <v>156</v>
      </c>
      <c r="D102" s="68" t="s">
        <v>78</v>
      </c>
      <c r="E102" s="69" t="s">
        <v>203</v>
      </c>
      <c r="F102" s="69" t="s">
        <v>204</v>
      </c>
      <c r="G102" s="67" t="s">
        <v>103</v>
      </c>
      <c r="H102" s="70" t="s">
        <v>211</v>
      </c>
      <c r="I102" s="69" t="s">
        <v>212</v>
      </c>
      <c r="J102" s="69" t="s">
        <v>213</v>
      </c>
      <c r="K102" s="67" t="s">
        <v>71</v>
      </c>
      <c r="L102" s="67"/>
      <c r="M102" s="71" t="n">
        <v>46348</v>
      </c>
      <c r="N102" s="71"/>
      <c r="O102" s="71"/>
      <c r="P102" s="71"/>
      <c r="Q102" s="72" t="str">
        <f aca="false">IF(AND(M102="",N102="",O102="",P102=""),"COMPLETAR",IF(P102&lt;&gt;"",IF(O102="","Finalizado",IF(P102&lt;O102,"Finalizado anticipado",IF(P102=O102,"Finalizado","Finalizado con desfase"))),IF(N102&lt;&gt;"",IF(O102="","No planificado",IF(O102&lt;='Tablas y Glosario'!$F$1,"Atrasado",IF(M102="","En curso",IF(N102&gt;M102,"Inicio retrasado",IF(N102&lt;M102,"Inicio anticipado","En curso"))))),IF(M102="","COMPLETAR",IF('Tablas y Glosario'!$F$1&gt;=M102,"No iniciado","Programado")))))</f>
        <v>Programado</v>
      </c>
    </row>
    <row r="103" customFormat="false" ht="23.85" hidden="false" customHeight="false" outlineLevel="0" collapsed="false">
      <c r="A103" s="61"/>
      <c r="B103" s="60" t="s">
        <v>64</v>
      </c>
      <c r="C103" s="61" t="s">
        <v>156</v>
      </c>
      <c r="D103" s="60" t="s">
        <v>78</v>
      </c>
      <c r="E103" s="73" t="s">
        <v>203</v>
      </c>
      <c r="F103" s="73" t="s">
        <v>204</v>
      </c>
      <c r="G103" s="61" t="s">
        <v>104</v>
      </c>
      <c r="H103" s="74" t="s">
        <v>214</v>
      </c>
      <c r="I103" s="73" t="s">
        <v>215</v>
      </c>
      <c r="J103" s="73" t="s">
        <v>216</v>
      </c>
      <c r="K103" s="61" t="s">
        <v>71</v>
      </c>
      <c r="L103" s="61"/>
      <c r="M103" s="75" t="n">
        <v>46349</v>
      </c>
      <c r="N103" s="75"/>
      <c r="O103" s="75"/>
      <c r="P103" s="75"/>
      <c r="Q103" s="76" t="str">
        <f aca="false">IF(AND(M103="",N103="",O103="",P103=""),"COMPLETAR",IF(P103&lt;&gt;"",IF(O103="","Finalizado",IF(P103&lt;O103,"Finalizado anticipado",IF(P103=O103,"Finalizado","Finalizado con desfase"))),IF(N103&lt;&gt;"",IF(O103="","No planificado",IF(O103&lt;='Tablas y Glosario'!$F$1,"Atrasado",IF(M103="","En curso",IF(N103&gt;M103,"Inicio retrasado",IF(N103&lt;M103,"Inicio anticipado","En curso"))))),IF(M103="","COMPLETAR",IF('Tablas y Glosario'!$F$1&gt;=M103,"No iniciado","Programado")))))</f>
        <v>Programado</v>
      </c>
    </row>
    <row r="104" customFormat="false" ht="35.05" hidden="false" customHeight="false" outlineLevel="0" collapsed="false">
      <c r="A104" s="67"/>
      <c r="B104" s="68" t="s">
        <v>64</v>
      </c>
      <c r="C104" s="67" t="s">
        <v>156</v>
      </c>
      <c r="D104" s="68" t="s">
        <v>79</v>
      </c>
      <c r="E104" s="69" t="s">
        <v>217</v>
      </c>
      <c r="F104" s="69" t="s">
        <v>218</v>
      </c>
      <c r="G104" s="67" t="s">
        <v>105</v>
      </c>
      <c r="H104" s="70" t="s">
        <v>219</v>
      </c>
      <c r="I104" s="69" t="s">
        <v>220</v>
      </c>
      <c r="J104" s="69" t="s">
        <v>221</v>
      </c>
      <c r="K104" s="67" t="s">
        <v>70</v>
      </c>
      <c r="L104" s="67"/>
      <c r="M104" s="71" t="n">
        <v>46350</v>
      </c>
      <c r="N104" s="71"/>
      <c r="O104" s="71"/>
      <c r="P104" s="71"/>
      <c r="Q104" s="72" t="str">
        <f aca="false">IF(AND(M104="",N104="",O104="",P104=""),"COMPLETAR",IF(P104&lt;&gt;"",IF(O104="","Finalizado",IF(P104&lt;O104,"Finalizado anticipado",IF(P104=O104,"Finalizado","Finalizado con desfase"))),IF(N104&lt;&gt;"",IF(O104="","No planificado",IF(O104&lt;='Tablas y Glosario'!$F$1,"Atrasado",IF(M104="","En curso",IF(N104&gt;M104,"Inicio retrasado",IF(N104&lt;M104,"Inicio anticipado","En curso"))))),IF(M104="","COMPLETAR",IF('Tablas y Glosario'!$F$1&gt;=M104,"No iniciado","Programado")))))</f>
        <v>Programado</v>
      </c>
    </row>
    <row r="105" customFormat="false" ht="35.05" hidden="false" customHeight="false" outlineLevel="0" collapsed="false">
      <c r="A105" s="61"/>
      <c r="B105" s="60" t="s">
        <v>64</v>
      </c>
      <c r="C105" s="61" t="s">
        <v>156</v>
      </c>
      <c r="D105" s="60" t="s">
        <v>79</v>
      </c>
      <c r="E105" s="73" t="s">
        <v>217</v>
      </c>
      <c r="F105" s="73" t="s">
        <v>218</v>
      </c>
      <c r="G105" s="61" t="s">
        <v>106</v>
      </c>
      <c r="H105" s="74" t="s">
        <v>222</v>
      </c>
      <c r="I105" s="73" t="s">
        <v>223</v>
      </c>
      <c r="J105" s="73" t="s">
        <v>224</v>
      </c>
      <c r="K105" s="61" t="s">
        <v>70</v>
      </c>
      <c r="L105" s="61"/>
      <c r="M105" s="75" t="n">
        <v>46351</v>
      </c>
      <c r="N105" s="75"/>
      <c r="O105" s="75"/>
      <c r="P105" s="75"/>
      <c r="Q105" s="76" t="str">
        <f aca="false">IF(AND(M105="",N105="",O105="",P105=""),"COMPLETAR",IF(P105&lt;&gt;"",IF(O105="","Finalizado",IF(P105&lt;O105,"Finalizado anticipado",IF(P105=O105,"Finalizado","Finalizado con desfase"))),IF(N105&lt;&gt;"",IF(O105="","No planificado",IF(O105&lt;='Tablas y Glosario'!$F$1,"Atrasado",IF(M105="","En curso",IF(N105&gt;M105,"Inicio retrasado",IF(N105&lt;M105,"Inicio anticipado","En curso"))))),IF(M105="","COMPLETAR",IF('Tablas y Glosario'!$F$1&gt;=M105,"No iniciado","Programado")))))</f>
        <v>Programado</v>
      </c>
    </row>
    <row r="106" customFormat="false" ht="35.05" hidden="false" customHeight="false" outlineLevel="0" collapsed="false">
      <c r="A106" s="67"/>
      <c r="B106" s="68" t="s">
        <v>64</v>
      </c>
      <c r="C106" s="67" t="s">
        <v>156</v>
      </c>
      <c r="D106" s="68" t="s">
        <v>79</v>
      </c>
      <c r="E106" s="69" t="s">
        <v>217</v>
      </c>
      <c r="F106" s="69" t="s">
        <v>218</v>
      </c>
      <c r="G106" s="67" t="s">
        <v>107</v>
      </c>
      <c r="H106" s="70" t="s">
        <v>225</v>
      </c>
      <c r="I106" s="69" t="s">
        <v>226</v>
      </c>
      <c r="J106" s="69" t="s">
        <v>227</v>
      </c>
      <c r="K106" s="67" t="s">
        <v>71</v>
      </c>
      <c r="L106" s="67"/>
      <c r="M106" s="71" t="n">
        <v>46352</v>
      </c>
      <c r="N106" s="71"/>
      <c r="O106" s="71"/>
      <c r="P106" s="71"/>
      <c r="Q106" s="72" t="str">
        <f aca="false">IF(AND(M106="",N106="",O106="",P106=""),"COMPLETAR",IF(P106&lt;&gt;"",IF(O106="","Finalizado",IF(P106&lt;O106,"Finalizado anticipado",IF(P106=O106,"Finalizado","Finalizado con desfase"))),IF(N106&lt;&gt;"",IF(O106="","No planificado",IF(O106&lt;='Tablas y Glosario'!$F$1,"Atrasado",IF(M106="","En curso",IF(N106&gt;M106,"Inicio retrasado",IF(N106&lt;M106,"Inicio anticipado","En curso"))))),IF(M106="","COMPLETAR",IF('Tablas y Glosario'!$F$1&gt;=M106,"No iniciado","Programado")))))</f>
        <v>Programado</v>
      </c>
    </row>
    <row r="107" customFormat="false" ht="35.05" hidden="false" customHeight="false" outlineLevel="0" collapsed="false">
      <c r="A107" s="61"/>
      <c r="B107" s="60" t="s">
        <v>64</v>
      </c>
      <c r="C107" s="61" t="s">
        <v>156</v>
      </c>
      <c r="D107" s="60" t="s">
        <v>79</v>
      </c>
      <c r="E107" s="73" t="s">
        <v>217</v>
      </c>
      <c r="F107" s="73" t="s">
        <v>218</v>
      </c>
      <c r="G107" s="61" t="s">
        <v>108</v>
      </c>
      <c r="H107" s="74" t="s">
        <v>228</v>
      </c>
      <c r="I107" s="73" t="s">
        <v>229</v>
      </c>
      <c r="J107" s="73" t="s">
        <v>230</v>
      </c>
      <c r="K107" s="61" t="s">
        <v>71</v>
      </c>
      <c r="L107" s="61"/>
      <c r="M107" s="75" t="n">
        <v>46353</v>
      </c>
      <c r="N107" s="75"/>
      <c r="O107" s="75"/>
      <c r="P107" s="75"/>
      <c r="Q107" s="76" t="str">
        <f aca="false">IF(AND(M107="",N107="",O107="",P107=""),"COMPLETAR",IF(P107&lt;&gt;"",IF(O107="","Finalizado",IF(P107&lt;O107,"Finalizado anticipado",IF(P107=O107,"Finalizado","Finalizado con desfase"))),IF(N107&lt;&gt;"",IF(O107="","No planificado",IF(O107&lt;='Tablas y Glosario'!$F$1,"Atrasado",IF(M107="","En curso",IF(N107&gt;M107,"Inicio retrasado",IF(N107&lt;M107,"Inicio anticipado","En curso"))))),IF(M107="","COMPLETAR",IF('Tablas y Glosario'!$F$1&gt;=M107,"No iniciado","Programado")))))</f>
        <v>Programado</v>
      </c>
    </row>
    <row r="108" customFormat="false" ht="35.05" hidden="false" customHeight="false" outlineLevel="0" collapsed="false">
      <c r="A108" s="67"/>
      <c r="B108" s="68" t="s">
        <v>64</v>
      </c>
      <c r="C108" s="67" t="s">
        <v>156</v>
      </c>
      <c r="D108" s="68" t="s">
        <v>79</v>
      </c>
      <c r="E108" s="69" t="s">
        <v>217</v>
      </c>
      <c r="F108" s="69" t="s">
        <v>218</v>
      </c>
      <c r="G108" s="67" t="s">
        <v>109</v>
      </c>
      <c r="H108" s="70" t="s">
        <v>222</v>
      </c>
      <c r="I108" s="69" t="s">
        <v>231</v>
      </c>
      <c r="J108" s="69" t="s">
        <v>232</v>
      </c>
      <c r="K108" s="67" t="s">
        <v>70</v>
      </c>
      <c r="L108" s="67"/>
      <c r="M108" s="71" t="n">
        <v>46354</v>
      </c>
      <c r="N108" s="71"/>
      <c r="O108" s="71"/>
      <c r="P108" s="71"/>
      <c r="Q108" s="72" t="str">
        <f aca="false">IF(AND(M108="",N108="",O108="",P108=""),"COMPLETAR",IF(P108&lt;&gt;"",IF(O108="","Finalizado",IF(P108&lt;O108,"Finalizado anticipado",IF(P108=O108,"Finalizado","Finalizado con desfase"))),IF(N108&lt;&gt;"",IF(O108="","No planificado",IF(O108&lt;='Tablas y Glosario'!$F$1,"Atrasado",IF(M108="","En curso",IF(N108&gt;M108,"Inicio retrasado",IF(N108&lt;M108,"Inicio anticipado","En curso"))))),IF(M108="","COMPLETAR",IF('Tablas y Glosario'!$F$1&gt;=M108,"No iniciado","Programado")))))</f>
        <v>Programado</v>
      </c>
    </row>
    <row r="109" customFormat="false" ht="35.05" hidden="false" customHeight="false" outlineLevel="0" collapsed="false">
      <c r="A109" s="61"/>
      <c r="B109" s="60" t="s">
        <v>64</v>
      </c>
      <c r="C109" s="61" t="s">
        <v>156</v>
      </c>
      <c r="D109" s="60" t="s">
        <v>79</v>
      </c>
      <c r="E109" s="73" t="s">
        <v>217</v>
      </c>
      <c r="F109" s="73" t="s">
        <v>218</v>
      </c>
      <c r="G109" s="61" t="s">
        <v>110</v>
      </c>
      <c r="H109" s="74" t="s">
        <v>233</v>
      </c>
      <c r="I109" s="73" t="s">
        <v>234</v>
      </c>
      <c r="J109" s="73" t="s">
        <v>235</v>
      </c>
      <c r="K109" s="61" t="s">
        <v>70</v>
      </c>
      <c r="L109" s="61"/>
      <c r="M109" s="75" t="n">
        <v>46355</v>
      </c>
      <c r="N109" s="75"/>
      <c r="O109" s="75"/>
      <c r="P109" s="75"/>
      <c r="Q109" s="76" t="str">
        <f aca="false">IF(AND(M109="",N109="",O109="",P109=""),"COMPLETAR",IF(P109&lt;&gt;"",IF(O109="","Finalizado",IF(P109&lt;O109,"Finalizado anticipado",IF(P109=O109,"Finalizado","Finalizado con desfase"))),IF(N109&lt;&gt;"",IF(O109="","No planificado",IF(O109&lt;='Tablas y Glosario'!$F$1,"Atrasado",IF(M109="","En curso",IF(N109&gt;M109,"Inicio retrasado",IF(N109&lt;M109,"Inicio anticipado","En curso"))))),IF(M109="","COMPLETAR",IF('Tablas y Glosario'!$F$1&gt;=M109,"No iniciado","Programado")))))</f>
        <v>Programado</v>
      </c>
    </row>
    <row r="110" customFormat="false" ht="35.05" hidden="false" customHeight="false" outlineLevel="0" collapsed="false">
      <c r="A110" s="67"/>
      <c r="B110" s="68" t="s">
        <v>64</v>
      </c>
      <c r="C110" s="67" t="s">
        <v>156</v>
      </c>
      <c r="D110" s="68" t="s">
        <v>80</v>
      </c>
      <c r="E110" s="69" t="s">
        <v>236</v>
      </c>
      <c r="F110" s="69" t="s">
        <v>237</v>
      </c>
      <c r="G110" s="67" t="s">
        <v>111</v>
      </c>
      <c r="H110" s="70" t="s">
        <v>238</v>
      </c>
      <c r="I110" s="69" t="s">
        <v>239</v>
      </c>
      <c r="J110" s="69" t="s">
        <v>240</v>
      </c>
      <c r="K110" s="67" t="s">
        <v>70</v>
      </c>
      <c r="L110" s="67"/>
      <c r="M110" s="71" t="n">
        <v>46356</v>
      </c>
      <c r="N110" s="71"/>
      <c r="O110" s="71"/>
      <c r="P110" s="71"/>
      <c r="Q110" s="72" t="str">
        <f aca="false">IF(AND(M110="",N110="",O110="",P110=""),"COMPLETAR",IF(P110&lt;&gt;"",IF(O110="","Finalizado",IF(P110&lt;O110,"Finalizado anticipado",IF(P110=O110,"Finalizado","Finalizado con desfase"))),IF(N110&lt;&gt;"",IF(O110="","No planificado",IF(O110&lt;='Tablas y Glosario'!$F$1,"Atrasado",IF(M110="","En curso",IF(N110&gt;M110,"Inicio retrasado",IF(N110&lt;M110,"Inicio anticipado","En curso"))))),IF(M110="","COMPLETAR",IF('Tablas y Glosario'!$F$1&gt;=M110,"No iniciado","Programado")))))</f>
        <v>Programado</v>
      </c>
    </row>
    <row r="111" customFormat="false" ht="35.05" hidden="false" customHeight="false" outlineLevel="0" collapsed="false">
      <c r="A111" s="61"/>
      <c r="B111" s="60" t="s">
        <v>64</v>
      </c>
      <c r="C111" s="61" t="s">
        <v>156</v>
      </c>
      <c r="D111" s="60" t="s">
        <v>80</v>
      </c>
      <c r="E111" s="73" t="s">
        <v>236</v>
      </c>
      <c r="F111" s="73" t="s">
        <v>237</v>
      </c>
      <c r="G111" s="61" t="s">
        <v>112</v>
      </c>
      <c r="H111" s="74" t="s">
        <v>241</v>
      </c>
      <c r="I111" s="73" t="s">
        <v>242</v>
      </c>
      <c r="J111" s="73" t="s">
        <v>243</v>
      </c>
      <c r="K111" s="61" t="s">
        <v>71</v>
      </c>
      <c r="L111" s="61"/>
      <c r="M111" s="75" t="n">
        <v>46357</v>
      </c>
      <c r="N111" s="75"/>
      <c r="O111" s="75"/>
      <c r="P111" s="75"/>
      <c r="Q111" s="76" t="str">
        <f aca="false">IF(AND(M111="",N111="",O111="",P111=""),"COMPLETAR",IF(P111&lt;&gt;"",IF(O111="","Finalizado",IF(P111&lt;O111,"Finalizado anticipado",IF(P111=O111,"Finalizado","Finalizado con desfase"))),IF(N111&lt;&gt;"",IF(O111="","No planificado",IF(O111&lt;='Tablas y Glosario'!$F$1,"Atrasado",IF(M111="","En curso",IF(N111&gt;M111,"Inicio retrasado",IF(N111&lt;M111,"Inicio anticipado","En curso"))))),IF(M111="","COMPLETAR",IF('Tablas y Glosario'!$F$1&gt;=M111,"No iniciado","Programado")))))</f>
        <v>Programado</v>
      </c>
    </row>
    <row r="112" customFormat="false" ht="35.05" hidden="false" customHeight="false" outlineLevel="0" collapsed="false">
      <c r="A112" s="67"/>
      <c r="B112" s="68" t="s">
        <v>64</v>
      </c>
      <c r="C112" s="67" t="s">
        <v>156</v>
      </c>
      <c r="D112" s="68" t="s">
        <v>80</v>
      </c>
      <c r="E112" s="69" t="s">
        <v>236</v>
      </c>
      <c r="F112" s="69" t="s">
        <v>237</v>
      </c>
      <c r="G112" s="67" t="s">
        <v>113</v>
      </c>
      <c r="H112" s="70" t="s">
        <v>244</v>
      </c>
      <c r="I112" s="69" t="s">
        <v>245</v>
      </c>
      <c r="J112" s="69" t="s">
        <v>246</v>
      </c>
      <c r="K112" s="67" t="s">
        <v>71</v>
      </c>
      <c r="L112" s="67"/>
      <c r="M112" s="71" t="n">
        <v>46358</v>
      </c>
      <c r="N112" s="71"/>
      <c r="O112" s="71"/>
      <c r="P112" s="71"/>
      <c r="Q112" s="72" t="str">
        <f aca="false">IF(AND(M112="",N112="",O112="",P112=""),"COMPLETAR",IF(P112&lt;&gt;"",IF(O112="","Finalizado",IF(P112&lt;O112,"Finalizado anticipado",IF(P112=O112,"Finalizado","Finalizado con desfase"))),IF(N112&lt;&gt;"",IF(O112="","No planificado",IF(O112&lt;='Tablas y Glosario'!$F$1,"Atrasado",IF(M112="","En curso",IF(N112&gt;M112,"Inicio retrasado",IF(N112&lt;M112,"Inicio anticipado","En curso"))))),IF(M112="","COMPLETAR",IF('Tablas y Glosario'!$F$1&gt;=M112,"No iniciado","Programado")))))</f>
        <v>Programado</v>
      </c>
    </row>
    <row r="113" customFormat="false" ht="35.05" hidden="false" customHeight="false" outlineLevel="0" collapsed="false">
      <c r="A113" s="61"/>
      <c r="B113" s="60" t="s">
        <v>64</v>
      </c>
      <c r="C113" s="61" t="s">
        <v>156</v>
      </c>
      <c r="D113" s="60" t="s">
        <v>80</v>
      </c>
      <c r="E113" s="73" t="s">
        <v>236</v>
      </c>
      <c r="F113" s="73" t="s">
        <v>237</v>
      </c>
      <c r="G113" s="61" t="s">
        <v>103</v>
      </c>
      <c r="H113" s="74" t="s">
        <v>247</v>
      </c>
      <c r="I113" s="73" t="s">
        <v>248</v>
      </c>
      <c r="J113" s="73" t="s">
        <v>249</v>
      </c>
      <c r="K113" s="61" t="s">
        <v>71</v>
      </c>
      <c r="L113" s="61"/>
      <c r="M113" s="75" t="n">
        <v>46359</v>
      </c>
      <c r="N113" s="75"/>
      <c r="O113" s="75"/>
      <c r="P113" s="75"/>
      <c r="Q113" s="76" t="str">
        <f aca="false">IF(AND(M113="",N113="",O113="",P113=""),"COMPLETAR",IF(P113&lt;&gt;"",IF(O113="","Finalizado",IF(P113&lt;O113,"Finalizado anticipado",IF(P113=O113,"Finalizado","Finalizado con desfase"))),IF(N113&lt;&gt;"",IF(O113="","No planificado",IF(O113&lt;='Tablas y Glosario'!$F$1,"Atrasado",IF(M113="","En curso",IF(N113&gt;M113,"Inicio retrasado",IF(N113&lt;M113,"Inicio anticipado","En curso"))))),IF(M113="","COMPLETAR",IF('Tablas y Glosario'!$F$1&gt;=M113,"No iniciado","Programado")))))</f>
        <v>Programado</v>
      </c>
    </row>
    <row r="114" customFormat="false" ht="35.05" hidden="false" customHeight="false" outlineLevel="0" collapsed="false">
      <c r="A114" s="67"/>
      <c r="B114" s="68" t="s">
        <v>64</v>
      </c>
      <c r="C114" s="67" t="s">
        <v>156</v>
      </c>
      <c r="D114" s="68" t="s">
        <v>80</v>
      </c>
      <c r="E114" s="69" t="s">
        <v>236</v>
      </c>
      <c r="F114" s="69" t="s">
        <v>237</v>
      </c>
      <c r="G114" s="67" t="s">
        <v>114</v>
      </c>
      <c r="H114" s="70" t="s">
        <v>250</v>
      </c>
      <c r="I114" s="69" t="s">
        <v>251</v>
      </c>
      <c r="J114" s="69" t="s">
        <v>252</v>
      </c>
      <c r="K114" s="67" t="s">
        <v>70</v>
      </c>
      <c r="L114" s="67"/>
      <c r="M114" s="71" t="n">
        <v>46360</v>
      </c>
      <c r="N114" s="71"/>
      <c r="O114" s="71"/>
      <c r="P114" s="71"/>
      <c r="Q114" s="72" t="str">
        <f aca="false">IF(AND(M114="",N114="",O114="",P114=""),"COMPLETAR",IF(P114&lt;&gt;"",IF(O114="","Finalizado",IF(P114&lt;O114,"Finalizado anticipado",IF(P114=O114,"Finalizado","Finalizado con desfase"))),IF(N114&lt;&gt;"",IF(O114="","No planificado",IF(O114&lt;='Tablas y Glosario'!$F$1,"Atrasado",IF(M114="","En curso",IF(N114&gt;M114,"Inicio retrasado",IF(N114&lt;M114,"Inicio anticipado","En curso"))))),IF(M114="","COMPLETAR",IF('Tablas y Glosario'!$F$1&gt;=M114,"No iniciado","Programado")))))</f>
        <v>Programado</v>
      </c>
    </row>
    <row r="115" customFormat="false" ht="35.05" hidden="false" customHeight="false" outlineLevel="0" collapsed="false">
      <c r="A115" s="61"/>
      <c r="B115" s="60" t="s">
        <v>64</v>
      </c>
      <c r="C115" s="61" t="s">
        <v>156</v>
      </c>
      <c r="D115" s="60" t="s">
        <v>81</v>
      </c>
      <c r="E115" s="73" t="s">
        <v>253</v>
      </c>
      <c r="F115" s="73" t="s">
        <v>254</v>
      </c>
      <c r="G115" s="61" t="s">
        <v>115</v>
      </c>
      <c r="H115" s="74" t="s">
        <v>255</v>
      </c>
      <c r="I115" s="73" t="s">
        <v>256</v>
      </c>
      <c r="J115" s="73" t="s">
        <v>257</v>
      </c>
      <c r="K115" s="61" t="s">
        <v>71</v>
      </c>
      <c r="L115" s="61"/>
      <c r="M115" s="75" t="n">
        <v>46361</v>
      </c>
      <c r="N115" s="75"/>
      <c r="O115" s="75"/>
      <c r="P115" s="75"/>
      <c r="Q115" s="76" t="str">
        <f aca="false">IF(AND(M115="",N115="",O115="",P115=""),"COMPLETAR",IF(P115&lt;&gt;"",IF(O115="","Finalizado",IF(P115&lt;O115,"Finalizado anticipado",IF(P115=O115,"Finalizado","Finalizado con desfase"))),IF(N115&lt;&gt;"",IF(O115="","No planificado",IF(O115&lt;='Tablas y Glosario'!$F$1,"Atrasado",IF(M115="","En curso",IF(N115&gt;M115,"Inicio retrasado",IF(N115&lt;M115,"Inicio anticipado","En curso"))))),IF(M115="","COMPLETAR",IF('Tablas y Glosario'!$F$1&gt;=M115,"No iniciado","Programado")))))</f>
        <v>Programado</v>
      </c>
    </row>
    <row r="116" customFormat="false" ht="35.05" hidden="false" customHeight="false" outlineLevel="0" collapsed="false">
      <c r="A116" s="67"/>
      <c r="B116" s="68" t="s">
        <v>64</v>
      </c>
      <c r="C116" s="67" t="s">
        <v>156</v>
      </c>
      <c r="D116" s="68" t="s">
        <v>81</v>
      </c>
      <c r="E116" s="69" t="s">
        <v>253</v>
      </c>
      <c r="F116" s="69" t="s">
        <v>254</v>
      </c>
      <c r="G116" s="67" t="s">
        <v>116</v>
      </c>
      <c r="H116" s="70" t="s">
        <v>258</v>
      </c>
      <c r="I116" s="69" t="s">
        <v>259</v>
      </c>
      <c r="J116" s="69" t="s">
        <v>260</v>
      </c>
      <c r="K116" s="67" t="s">
        <v>71</v>
      </c>
      <c r="L116" s="67"/>
      <c r="M116" s="71" t="n">
        <v>46362</v>
      </c>
      <c r="N116" s="71"/>
      <c r="O116" s="71"/>
      <c r="P116" s="71"/>
      <c r="Q116" s="72" t="str">
        <f aca="false">IF(AND(M116="",N116="",O116="",P116=""),"COMPLETAR",IF(P116&lt;&gt;"",IF(O116="","Finalizado",IF(P116&lt;O116,"Finalizado anticipado",IF(P116=O116,"Finalizado","Finalizado con desfase"))),IF(N116&lt;&gt;"",IF(O116="","No planificado",IF(O116&lt;='Tablas y Glosario'!$F$1,"Atrasado",IF(M116="","En curso",IF(N116&gt;M116,"Inicio retrasado",IF(N116&lt;M116,"Inicio anticipado","En curso"))))),IF(M116="","COMPLETAR",IF('Tablas y Glosario'!$F$1&gt;=M116,"No iniciado","Programado")))))</f>
        <v>Programado</v>
      </c>
    </row>
    <row r="117" customFormat="false" ht="35.05" hidden="false" customHeight="false" outlineLevel="0" collapsed="false">
      <c r="A117" s="61"/>
      <c r="B117" s="60" t="s">
        <v>64</v>
      </c>
      <c r="C117" s="61" t="s">
        <v>156</v>
      </c>
      <c r="D117" s="60" t="s">
        <v>81</v>
      </c>
      <c r="E117" s="73" t="s">
        <v>253</v>
      </c>
      <c r="F117" s="73" t="s">
        <v>254</v>
      </c>
      <c r="G117" s="61" t="s">
        <v>117</v>
      </c>
      <c r="H117" s="74" t="s">
        <v>261</v>
      </c>
      <c r="I117" s="73" t="s">
        <v>262</v>
      </c>
      <c r="J117" s="73" t="s">
        <v>263</v>
      </c>
      <c r="K117" s="61" t="s">
        <v>71</v>
      </c>
      <c r="L117" s="61"/>
      <c r="M117" s="75" t="n">
        <v>46363</v>
      </c>
      <c r="N117" s="75"/>
      <c r="O117" s="75"/>
      <c r="P117" s="75"/>
      <c r="Q117" s="76" t="str">
        <f aca="false">IF(AND(M117="",N117="",O117="",P117=""),"COMPLETAR",IF(P117&lt;&gt;"",IF(O117="","Finalizado",IF(P117&lt;O117,"Finalizado anticipado",IF(P117=O117,"Finalizado","Finalizado con desfase"))),IF(N117&lt;&gt;"",IF(O117="","No planificado",IF(O117&lt;='Tablas y Glosario'!$F$1,"Atrasado",IF(M117="","En curso",IF(N117&gt;M117,"Inicio retrasado",IF(N117&lt;M117,"Inicio anticipado","En curso"))))),IF(M117="","COMPLETAR",IF('Tablas y Glosario'!$F$1&gt;=M117,"No iniciado","Programado")))))</f>
        <v>Programado</v>
      </c>
    </row>
    <row r="118" customFormat="false" ht="35.05" hidden="false" customHeight="false" outlineLevel="0" collapsed="false">
      <c r="A118" s="67"/>
      <c r="B118" s="68" t="s">
        <v>64</v>
      </c>
      <c r="C118" s="67" t="s">
        <v>156</v>
      </c>
      <c r="D118" s="68" t="s">
        <v>81</v>
      </c>
      <c r="E118" s="69" t="s">
        <v>253</v>
      </c>
      <c r="F118" s="69" t="s">
        <v>254</v>
      </c>
      <c r="G118" s="67" t="s">
        <v>118</v>
      </c>
      <c r="H118" s="70" t="s">
        <v>264</v>
      </c>
      <c r="I118" s="69" t="s">
        <v>265</v>
      </c>
      <c r="J118" s="69" t="s">
        <v>266</v>
      </c>
      <c r="K118" s="67" t="s">
        <v>71</v>
      </c>
      <c r="L118" s="67"/>
      <c r="M118" s="71" t="n">
        <v>46364</v>
      </c>
      <c r="N118" s="71"/>
      <c r="O118" s="71"/>
      <c r="P118" s="71"/>
      <c r="Q118" s="72" t="str">
        <f aca="false">IF(AND(M118="",N118="",O118="",P118=""),"COMPLETAR",IF(P118&lt;&gt;"",IF(O118="","Finalizado",IF(P118&lt;O118,"Finalizado anticipado",IF(P118=O118,"Finalizado","Finalizado con desfase"))),IF(N118&lt;&gt;"",IF(O118="","No planificado",IF(O118&lt;='Tablas y Glosario'!$F$1,"Atrasado",IF(M118="","En curso",IF(N118&gt;M118,"Inicio retrasado",IF(N118&lt;M118,"Inicio anticipado","En curso"))))),IF(M118="","COMPLETAR",IF('Tablas y Glosario'!$F$1&gt;=M118,"No iniciado","Programado")))))</f>
        <v>Programado</v>
      </c>
    </row>
    <row r="119" customFormat="false" ht="35.05" hidden="false" customHeight="false" outlineLevel="0" collapsed="false">
      <c r="A119" s="61"/>
      <c r="B119" s="60" t="s">
        <v>64</v>
      </c>
      <c r="C119" s="61" t="s">
        <v>156</v>
      </c>
      <c r="D119" s="60" t="s">
        <v>81</v>
      </c>
      <c r="E119" s="73" t="s">
        <v>253</v>
      </c>
      <c r="F119" s="73" t="s">
        <v>254</v>
      </c>
      <c r="G119" s="61" t="s">
        <v>119</v>
      </c>
      <c r="H119" s="74" t="s">
        <v>267</v>
      </c>
      <c r="I119" s="73" t="s">
        <v>268</v>
      </c>
      <c r="J119" s="73" t="s">
        <v>269</v>
      </c>
      <c r="K119" s="61" t="s">
        <v>71</v>
      </c>
      <c r="L119" s="61"/>
      <c r="M119" s="75" t="n">
        <v>46365</v>
      </c>
      <c r="N119" s="75"/>
      <c r="O119" s="75"/>
      <c r="P119" s="75"/>
      <c r="Q119" s="76" t="str">
        <f aca="false">IF(AND(M119="",N119="",O119="",P119=""),"COMPLETAR",IF(P119&lt;&gt;"",IF(O119="","Finalizado",IF(P119&lt;O119,"Finalizado anticipado",IF(P119=O119,"Finalizado","Finalizado con desfase"))),IF(N119&lt;&gt;"",IF(O119="","No planificado",IF(O119&lt;='Tablas y Glosario'!$F$1,"Atrasado",IF(M119="","En curso",IF(N119&gt;M119,"Inicio retrasado",IF(N119&lt;M119,"Inicio anticipado","En curso"))))),IF(M119="","COMPLETAR",IF('Tablas y Glosario'!$F$1&gt;=M119,"No iniciado","Programado")))))</f>
        <v>Programado</v>
      </c>
    </row>
    <row r="120" customFormat="false" ht="35.05" hidden="false" customHeight="false" outlineLevel="0" collapsed="false">
      <c r="A120" s="67"/>
      <c r="B120" s="68" t="s">
        <v>64</v>
      </c>
      <c r="C120" s="67" t="s">
        <v>156</v>
      </c>
      <c r="D120" s="68" t="s">
        <v>81</v>
      </c>
      <c r="E120" s="69" t="s">
        <v>253</v>
      </c>
      <c r="F120" s="69" t="s">
        <v>254</v>
      </c>
      <c r="G120" s="67" t="s">
        <v>120</v>
      </c>
      <c r="H120" s="70" t="s">
        <v>270</v>
      </c>
      <c r="I120" s="69" t="s">
        <v>271</v>
      </c>
      <c r="J120" s="69" t="s">
        <v>272</v>
      </c>
      <c r="K120" s="67" t="s">
        <v>70</v>
      </c>
      <c r="L120" s="67"/>
      <c r="M120" s="71" t="n">
        <v>46366</v>
      </c>
      <c r="N120" s="71"/>
      <c r="O120" s="71"/>
      <c r="P120" s="71"/>
      <c r="Q120" s="72" t="str">
        <f aca="false">IF(AND(M120="",N120="",O120="",P120=""),"COMPLETAR",IF(P120&lt;&gt;"",IF(O120="","Finalizado",IF(P120&lt;O120,"Finalizado anticipado",IF(P120=O120,"Finalizado","Finalizado con desfase"))),IF(N120&lt;&gt;"",IF(O120="","No planificado",IF(O120&lt;='Tablas y Glosario'!$F$1,"Atrasado",IF(M120="","En curso",IF(N120&gt;M120,"Inicio retrasado",IF(N120&lt;M120,"Inicio anticipado","En curso"))))),IF(M120="","COMPLETAR",IF('Tablas y Glosario'!$F$1&gt;=M120,"No iniciado","Programado")))))</f>
        <v>Programado</v>
      </c>
    </row>
    <row r="121" customFormat="false" ht="35.05" hidden="false" customHeight="false" outlineLevel="0" collapsed="false">
      <c r="A121" s="61"/>
      <c r="B121" s="60" t="s">
        <v>64</v>
      </c>
      <c r="C121" s="61" t="s">
        <v>156</v>
      </c>
      <c r="D121" s="60" t="s">
        <v>82</v>
      </c>
      <c r="E121" s="73" t="s">
        <v>273</v>
      </c>
      <c r="F121" s="73" t="s">
        <v>274</v>
      </c>
      <c r="G121" s="61" t="s">
        <v>121</v>
      </c>
      <c r="H121" s="74" t="s">
        <v>275</v>
      </c>
      <c r="I121" s="73" t="s">
        <v>276</v>
      </c>
      <c r="J121" s="73" t="s">
        <v>277</v>
      </c>
      <c r="K121" s="61" t="s">
        <v>71</v>
      </c>
      <c r="L121" s="61"/>
      <c r="M121" s="75" t="n">
        <v>46367</v>
      </c>
      <c r="N121" s="75"/>
      <c r="O121" s="75"/>
      <c r="P121" s="75"/>
      <c r="Q121" s="76" t="str">
        <f aca="false">IF(AND(M121="",N121="",O121="",P121=""),"COMPLETAR",IF(P121&lt;&gt;"",IF(O121="","Finalizado",IF(P121&lt;O121,"Finalizado anticipado",IF(P121=O121,"Finalizado","Finalizado con desfase"))),IF(N121&lt;&gt;"",IF(O121="","No planificado",IF(O121&lt;='Tablas y Glosario'!$F$1,"Atrasado",IF(M121="","En curso",IF(N121&gt;M121,"Inicio retrasado",IF(N121&lt;M121,"Inicio anticipado","En curso"))))),IF(M121="","COMPLETAR",IF('Tablas y Glosario'!$F$1&gt;=M121,"No iniciado","Programado")))))</f>
        <v>Programado</v>
      </c>
    </row>
    <row r="122" customFormat="false" ht="35.05" hidden="false" customHeight="false" outlineLevel="0" collapsed="false">
      <c r="A122" s="67"/>
      <c r="B122" s="68" t="s">
        <v>64</v>
      </c>
      <c r="C122" s="67" t="s">
        <v>156</v>
      </c>
      <c r="D122" s="68" t="s">
        <v>82</v>
      </c>
      <c r="E122" s="69" t="s">
        <v>273</v>
      </c>
      <c r="F122" s="69" t="s">
        <v>274</v>
      </c>
      <c r="G122" s="67" t="s">
        <v>122</v>
      </c>
      <c r="H122" s="70" t="s">
        <v>278</v>
      </c>
      <c r="I122" s="69" t="s">
        <v>279</v>
      </c>
      <c r="J122" s="69" t="s">
        <v>280</v>
      </c>
      <c r="K122" s="67" t="s">
        <v>71</v>
      </c>
      <c r="L122" s="67"/>
      <c r="M122" s="71" t="n">
        <v>46368</v>
      </c>
      <c r="N122" s="71"/>
      <c r="O122" s="71"/>
      <c r="P122" s="71"/>
      <c r="Q122" s="72" t="str">
        <f aca="false">IF(AND(M122="",N122="",O122="",P122=""),"COMPLETAR",IF(P122&lt;&gt;"",IF(O122="","Finalizado",IF(P122&lt;O122,"Finalizado anticipado",IF(P122=O122,"Finalizado","Finalizado con desfase"))),IF(N122&lt;&gt;"",IF(O122="","No planificado",IF(O122&lt;='Tablas y Glosario'!$F$1,"Atrasado",IF(M122="","En curso",IF(N122&gt;M122,"Inicio retrasado",IF(N122&lt;M122,"Inicio anticipado","En curso"))))),IF(M122="","COMPLETAR",IF('Tablas y Glosario'!$F$1&gt;=M122,"No iniciado","Programado")))))</f>
        <v>Programado</v>
      </c>
    </row>
    <row r="123" customFormat="false" ht="35.05" hidden="false" customHeight="false" outlineLevel="0" collapsed="false">
      <c r="A123" s="61"/>
      <c r="B123" s="60" t="s">
        <v>64</v>
      </c>
      <c r="C123" s="61" t="s">
        <v>156</v>
      </c>
      <c r="D123" s="60" t="s">
        <v>82</v>
      </c>
      <c r="E123" s="73" t="s">
        <v>273</v>
      </c>
      <c r="F123" s="73" t="s">
        <v>274</v>
      </c>
      <c r="G123" s="61" t="s">
        <v>123</v>
      </c>
      <c r="H123" s="74" t="s">
        <v>281</v>
      </c>
      <c r="I123" s="73" t="s">
        <v>282</v>
      </c>
      <c r="J123" s="73" t="s">
        <v>227</v>
      </c>
      <c r="K123" s="61" t="s">
        <v>71</v>
      </c>
      <c r="L123" s="61"/>
      <c r="M123" s="75" t="n">
        <v>46369</v>
      </c>
      <c r="N123" s="75"/>
      <c r="O123" s="75"/>
      <c r="P123" s="75"/>
      <c r="Q123" s="76" t="str">
        <f aca="false">IF(AND(M123="",N123="",O123="",P123=""),"COMPLETAR",IF(P123&lt;&gt;"",IF(O123="","Finalizado",IF(P123&lt;O123,"Finalizado anticipado",IF(P123=O123,"Finalizado","Finalizado con desfase"))),IF(N123&lt;&gt;"",IF(O123="","No planificado",IF(O123&lt;='Tablas y Glosario'!$F$1,"Atrasado",IF(M123="","En curso",IF(N123&gt;M123,"Inicio retrasado",IF(N123&lt;M123,"Inicio anticipado","En curso"))))),IF(M123="","COMPLETAR",IF('Tablas y Glosario'!$F$1&gt;=M123,"No iniciado","Programado")))))</f>
        <v>Programado</v>
      </c>
    </row>
    <row r="124" customFormat="false" ht="46.25" hidden="false" customHeight="false" outlineLevel="0" collapsed="false">
      <c r="A124" s="67"/>
      <c r="B124" s="68" t="s">
        <v>64</v>
      </c>
      <c r="C124" s="67" t="s">
        <v>156</v>
      </c>
      <c r="D124" s="68" t="s">
        <v>83</v>
      </c>
      <c r="E124" s="69" t="s">
        <v>283</v>
      </c>
      <c r="F124" s="69" t="s">
        <v>284</v>
      </c>
      <c r="G124" s="67" t="s">
        <v>124</v>
      </c>
      <c r="H124" s="70" t="s">
        <v>285</v>
      </c>
      <c r="I124" s="69" t="s">
        <v>286</v>
      </c>
      <c r="J124" s="69" t="s">
        <v>287</v>
      </c>
      <c r="K124" s="67" t="s">
        <v>70</v>
      </c>
      <c r="L124" s="67"/>
      <c r="M124" s="71" t="n">
        <v>46370</v>
      </c>
      <c r="N124" s="71"/>
      <c r="O124" s="71"/>
      <c r="P124" s="71"/>
      <c r="Q124" s="72" t="str">
        <f aca="false">IF(AND(M124="",N124="",O124="",P124=""),"COMPLETAR",IF(P124&lt;&gt;"",IF(O124="","Finalizado",IF(P124&lt;O124,"Finalizado anticipado",IF(P124=O124,"Finalizado","Finalizado con desfase"))),IF(N124&lt;&gt;"",IF(O124="","No planificado",IF(O124&lt;='Tablas y Glosario'!$F$1,"Atrasado",IF(M124="","En curso",IF(N124&gt;M124,"Inicio retrasado",IF(N124&lt;M124,"Inicio anticipado","En curso"))))),IF(M124="","COMPLETAR",IF('Tablas y Glosario'!$F$1&gt;=M124,"No iniciado","Programado")))))</f>
        <v>Programado</v>
      </c>
    </row>
    <row r="125" customFormat="false" ht="46.25" hidden="false" customHeight="false" outlineLevel="0" collapsed="false">
      <c r="A125" s="61"/>
      <c r="B125" s="60" t="s">
        <v>64</v>
      </c>
      <c r="C125" s="61" t="s">
        <v>156</v>
      </c>
      <c r="D125" s="60" t="s">
        <v>83</v>
      </c>
      <c r="E125" s="73" t="s">
        <v>283</v>
      </c>
      <c r="F125" s="73" t="s">
        <v>288</v>
      </c>
      <c r="G125" s="61" t="s">
        <v>125</v>
      </c>
      <c r="H125" s="74" t="s">
        <v>289</v>
      </c>
      <c r="I125" s="73" t="s">
        <v>290</v>
      </c>
      <c r="J125" s="73" t="s">
        <v>291</v>
      </c>
      <c r="K125" s="61" t="s">
        <v>70</v>
      </c>
      <c r="L125" s="61"/>
      <c r="M125" s="75" t="n">
        <v>46371</v>
      </c>
      <c r="N125" s="75"/>
      <c r="O125" s="75"/>
      <c r="P125" s="75"/>
      <c r="Q125" s="76" t="str">
        <f aca="false">IF(AND(M125="",N125="",O125="",P125=""),"COMPLETAR",IF(P125&lt;&gt;"",IF(O125="","Finalizado",IF(P125&lt;O125,"Finalizado anticipado",IF(P125=O125,"Finalizado","Finalizado con desfase"))),IF(N125&lt;&gt;"",IF(O125="","No planificado",IF(O125&lt;='Tablas y Glosario'!$F$1,"Atrasado",IF(M125="","En curso",IF(N125&gt;M125,"Inicio retrasado",IF(N125&lt;M125,"Inicio anticipado","En curso"))))),IF(M125="","COMPLETAR",IF('Tablas y Glosario'!$F$1&gt;=M125,"No iniciado","Programado")))))</f>
        <v>Programado</v>
      </c>
    </row>
    <row r="126" customFormat="false" ht="46.25" hidden="false" customHeight="false" outlineLevel="0" collapsed="false">
      <c r="A126" s="67"/>
      <c r="B126" s="68" t="s">
        <v>64</v>
      </c>
      <c r="C126" s="67" t="s">
        <v>156</v>
      </c>
      <c r="D126" s="68" t="s">
        <v>83</v>
      </c>
      <c r="E126" s="69" t="s">
        <v>283</v>
      </c>
      <c r="F126" s="69" t="s">
        <v>288</v>
      </c>
      <c r="G126" s="67" t="s">
        <v>126</v>
      </c>
      <c r="H126" s="70" t="s">
        <v>292</v>
      </c>
      <c r="I126" s="69" t="s">
        <v>293</v>
      </c>
      <c r="J126" s="69" t="s">
        <v>294</v>
      </c>
      <c r="K126" s="67" t="s">
        <v>70</v>
      </c>
      <c r="L126" s="67"/>
      <c r="M126" s="71" t="n">
        <v>46372</v>
      </c>
      <c r="N126" s="71"/>
      <c r="O126" s="71"/>
      <c r="P126" s="71"/>
      <c r="Q126" s="72" t="str">
        <f aca="false">IF(AND(M126="",N126="",O126="",P126=""),"COMPLETAR",IF(P126&lt;&gt;"",IF(O126="","Finalizado",IF(P126&lt;O126,"Finalizado anticipado",IF(P126=O126,"Finalizado","Finalizado con desfase"))),IF(N126&lt;&gt;"",IF(O126="","No planificado",IF(O126&lt;='Tablas y Glosario'!$F$1,"Atrasado",IF(M126="","En curso",IF(N126&gt;M126,"Inicio retrasado",IF(N126&lt;M126,"Inicio anticipado","En curso"))))),IF(M126="","COMPLETAR",IF('Tablas y Glosario'!$F$1&gt;=M126,"No iniciado","Programado")))))</f>
        <v>Programado</v>
      </c>
    </row>
    <row r="127" customFormat="false" ht="46.25" hidden="false" customHeight="false" outlineLevel="0" collapsed="false">
      <c r="A127" s="61"/>
      <c r="B127" s="60" t="s">
        <v>64</v>
      </c>
      <c r="C127" s="61" t="s">
        <v>156</v>
      </c>
      <c r="D127" s="60" t="s">
        <v>83</v>
      </c>
      <c r="E127" s="73" t="s">
        <v>283</v>
      </c>
      <c r="F127" s="73" t="s">
        <v>288</v>
      </c>
      <c r="G127" s="61" t="s">
        <v>127</v>
      </c>
      <c r="H127" s="74" t="s">
        <v>295</v>
      </c>
      <c r="I127" s="73" t="s">
        <v>296</v>
      </c>
      <c r="J127" s="73" t="s">
        <v>297</v>
      </c>
      <c r="K127" s="61" t="s">
        <v>70</v>
      </c>
      <c r="L127" s="61"/>
      <c r="M127" s="75" t="n">
        <v>46373</v>
      </c>
      <c r="N127" s="75"/>
      <c r="O127" s="75"/>
      <c r="P127" s="75"/>
      <c r="Q127" s="76" t="str">
        <f aca="false">IF(AND(M127="",N127="",O127="",P127=""),"COMPLETAR",IF(P127&lt;&gt;"",IF(O127="","Finalizado",IF(P127&lt;O127,"Finalizado anticipado",IF(P127=O127,"Finalizado","Finalizado con desfase"))),IF(N127&lt;&gt;"",IF(O127="","No planificado",IF(O127&lt;='Tablas y Glosario'!$F$1,"Atrasado",IF(M127="","En curso",IF(N127&gt;M127,"Inicio retrasado",IF(N127&lt;M127,"Inicio anticipado","En curso"))))),IF(M127="","COMPLETAR",IF('Tablas y Glosario'!$F$1&gt;=M127,"No iniciado","Programado")))))</f>
        <v>Programado</v>
      </c>
    </row>
    <row r="128" customFormat="false" ht="57.45" hidden="false" customHeight="false" outlineLevel="0" collapsed="false">
      <c r="A128" s="67"/>
      <c r="B128" s="68" t="s">
        <v>63</v>
      </c>
      <c r="C128" s="67" t="s">
        <v>156</v>
      </c>
      <c r="D128" s="68" t="s">
        <v>74</v>
      </c>
      <c r="E128" s="69" t="s">
        <v>157</v>
      </c>
      <c r="F128" s="69" t="s">
        <v>158</v>
      </c>
      <c r="G128" s="67" t="s">
        <v>87</v>
      </c>
      <c r="H128" s="70" t="s">
        <v>159</v>
      </c>
      <c r="I128" s="69" t="s">
        <v>160</v>
      </c>
      <c r="J128" s="69" t="s">
        <v>161</v>
      </c>
      <c r="K128" s="67" t="s">
        <v>70</v>
      </c>
      <c r="L128" s="67"/>
      <c r="M128" s="71" t="n">
        <v>46374</v>
      </c>
      <c r="N128" s="71"/>
      <c r="O128" s="71"/>
      <c r="P128" s="71"/>
      <c r="Q128" s="72" t="str">
        <f aca="false">IF(AND(M128="",N128="",O128="",P128=""),"COMPLETAR",IF(P128&lt;&gt;"",IF(O128="","Finalizado",IF(P128&lt;O128,"Finalizado anticipado",IF(P128=O128,"Finalizado","Finalizado con desfase"))),IF(N128&lt;&gt;"",IF(O128="","No planificado",IF(O128&lt;='Tablas y Glosario'!$F$1,"Atrasado",IF(M128="","En curso",IF(N128&gt;M128,"Inicio retrasado",IF(N128&lt;M128,"Inicio anticipado","En curso"))))),IF(M128="","COMPLETAR",IF('Tablas y Glosario'!$F$1&gt;=M128,"No iniciado","Programado")))))</f>
        <v>Programado</v>
      </c>
    </row>
    <row r="129" customFormat="false" ht="57.45" hidden="false" customHeight="false" outlineLevel="0" collapsed="false">
      <c r="A129" s="61"/>
      <c r="B129" s="60" t="s">
        <v>63</v>
      </c>
      <c r="C129" s="61" t="s">
        <v>156</v>
      </c>
      <c r="D129" s="60" t="s">
        <v>74</v>
      </c>
      <c r="E129" s="73" t="s">
        <v>157</v>
      </c>
      <c r="F129" s="73" t="s">
        <v>158</v>
      </c>
      <c r="G129" s="61" t="s">
        <v>88</v>
      </c>
      <c r="H129" s="74" t="s">
        <v>162</v>
      </c>
      <c r="I129" s="73" t="s">
        <v>163</v>
      </c>
      <c r="J129" s="73" t="s">
        <v>164</v>
      </c>
      <c r="K129" s="61" t="s">
        <v>70</v>
      </c>
      <c r="L129" s="61"/>
      <c r="M129" s="75" t="n">
        <v>46375</v>
      </c>
      <c r="N129" s="75"/>
      <c r="O129" s="75"/>
      <c r="P129" s="75"/>
      <c r="Q129" s="76" t="str">
        <f aca="false">IF(AND(M129="",N129="",O129="",P129=""),"COMPLETAR",IF(P129&lt;&gt;"",IF(O129="","Finalizado",IF(P129&lt;O129,"Finalizado anticipado",IF(P129=O129,"Finalizado","Finalizado con desfase"))),IF(N129&lt;&gt;"",IF(O129="","No planificado",IF(O129&lt;='Tablas y Glosario'!$F$1,"Atrasado",IF(M129="","En curso",IF(N129&gt;M129,"Inicio retrasado",IF(N129&lt;M129,"Inicio anticipado","En curso"))))),IF(M129="","COMPLETAR",IF('Tablas y Glosario'!$F$1&gt;=M129,"No iniciado","Programado")))))</f>
        <v>Programado</v>
      </c>
    </row>
    <row r="130" customFormat="false" ht="57.45" hidden="false" customHeight="false" outlineLevel="0" collapsed="false">
      <c r="A130" s="67"/>
      <c r="B130" s="68" t="s">
        <v>63</v>
      </c>
      <c r="C130" s="67" t="s">
        <v>156</v>
      </c>
      <c r="D130" s="68" t="s">
        <v>74</v>
      </c>
      <c r="E130" s="69" t="s">
        <v>157</v>
      </c>
      <c r="F130" s="69" t="s">
        <v>158</v>
      </c>
      <c r="G130" s="67" t="s">
        <v>89</v>
      </c>
      <c r="H130" s="70" t="s">
        <v>165</v>
      </c>
      <c r="I130" s="69" t="s">
        <v>166</v>
      </c>
      <c r="J130" s="69" t="s">
        <v>167</v>
      </c>
      <c r="K130" s="67" t="s">
        <v>70</v>
      </c>
      <c r="L130" s="67"/>
      <c r="M130" s="71" t="n">
        <v>46376</v>
      </c>
      <c r="N130" s="71"/>
      <c r="O130" s="71"/>
      <c r="P130" s="71"/>
      <c r="Q130" s="72" t="str">
        <f aca="false">IF(AND(M130="",N130="",O130="",P130=""),"COMPLETAR",IF(P130&lt;&gt;"",IF(O130="","Finalizado",IF(P130&lt;O130,"Finalizado anticipado",IF(P130=O130,"Finalizado","Finalizado con desfase"))),IF(N130&lt;&gt;"",IF(O130="","No planificado",IF(O130&lt;='Tablas y Glosario'!$F$1,"Atrasado",IF(M130="","En curso",IF(N130&gt;M130,"Inicio retrasado",IF(N130&lt;M130,"Inicio anticipado","En curso"))))),IF(M130="","COMPLETAR",IF('Tablas y Glosario'!$F$1&gt;=M130,"No iniciado","Programado")))))</f>
        <v>Programado</v>
      </c>
    </row>
    <row r="131" customFormat="false" ht="57.45" hidden="false" customHeight="false" outlineLevel="0" collapsed="false">
      <c r="A131" s="61"/>
      <c r="B131" s="60" t="s">
        <v>63</v>
      </c>
      <c r="C131" s="61" t="s">
        <v>156</v>
      </c>
      <c r="D131" s="60" t="s">
        <v>74</v>
      </c>
      <c r="E131" s="73" t="s">
        <v>157</v>
      </c>
      <c r="F131" s="73" t="s">
        <v>158</v>
      </c>
      <c r="G131" s="61" t="s">
        <v>90</v>
      </c>
      <c r="H131" s="74" t="s">
        <v>168</v>
      </c>
      <c r="I131" s="73" t="s">
        <v>169</v>
      </c>
      <c r="J131" s="73" t="s">
        <v>170</v>
      </c>
      <c r="K131" s="61" t="s">
        <v>70</v>
      </c>
      <c r="L131" s="61"/>
      <c r="M131" s="75" t="n">
        <v>46377</v>
      </c>
      <c r="N131" s="75"/>
      <c r="O131" s="75"/>
      <c r="P131" s="75"/>
      <c r="Q131" s="76" t="str">
        <f aca="false">IF(AND(M131="",N131="",O131="",P131=""),"COMPLETAR",IF(P131&lt;&gt;"",IF(O131="","Finalizado",IF(P131&lt;O131,"Finalizado anticipado",IF(P131=O131,"Finalizado","Finalizado con desfase"))),IF(N131&lt;&gt;"",IF(O131="","No planificado",IF(O131&lt;='Tablas y Glosario'!$F$1,"Atrasado",IF(M131="","En curso",IF(N131&gt;M131,"Inicio retrasado",IF(N131&lt;M131,"Inicio anticipado","En curso"))))),IF(M131="","COMPLETAR",IF('Tablas y Glosario'!$F$1&gt;=M131,"No iniciado","Programado")))))</f>
        <v>Programado</v>
      </c>
    </row>
    <row r="132" customFormat="false" ht="46.25" hidden="false" customHeight="false" outlineLevel="0" collapsed="false">
      <c r="A132" s="67"/>
      <c r="B132" s="68" t="s">
        <v>63</v>
      </c>
      <c r="C132" s="67" t="s">
        <v>156</v>
      </c>
      <c r="D132" s="68" t="s">
        <v>75</v>
      </c>
      <c r="E132" s="69" t="s">
        <v>171</v>
      </c>
      <c r="F132" s="69" t="s">
        <v>172</v>
      </c>
      <c r="G132" s="67" t="s">
        <v>91</v>
      </c>
      <c r="H132" s="70" t="s">
        <v>173</v>
      </c>
      <c r="I132" s="69" t="s">
        <v>174</v>
      </c>
      <c r="J132" s="69" t="s">
        <v>175</v>
      </c>
      <c r="K132" s="67" t="s">
        <v>70</v>
      </c>
      <c r="L132" s="67"/>
      <c r="M132" s="71" t="n">
        <v>46378</v>
      </c>
      <c r="N132" s="71"/>
      <c r="O132" s="71"/>
      <c r="P132" s="71"/>
      <c r="Q132" s="72" t="str">
        <f aca="false">IF(AND(M132="",N132="",O132="",P132=""),"COMPLETAR",IF(P132&lt;&gt;"",IF(O132="","Finalizado",IF(P132&lt;O132,"Finalizado anticipado",IF(P132=O132,"Finalizado","Finalizado con desfase"))),IF(N132&lt;&gt;"",IF(O132="","No planificado",IF(O132&lt;='Tablas y Glosario'!$F$1,"Atrasado",IF(M132="","En curso",IF(N132&gt;M132,"Inicio retrasado",IF(N132&lt;M132,"Inicio anticipado","En curso"))))),IF(M132="","COMPLETAR",IF('Tablas y Glosario'!$F$1&gt;=M132,"No iniciado","Programado")))))</f>
        <v>Programado</v>
      </c>
    </row>
    <row r="133" customFormat="false" ht="46.25" hidden="false" customHeight="false" outlineLevel="0" collapsed="false">
      <c r="A133" s="61"/>
      <c r="B133" s="60" t="s">
        <v>63</v>
      </c>
      <c r="C133" s="61" t="s">
        <v>156</v>
      </c>
      <c r="D133" s="60" t="s">
        <v>75</v>
      </c>
      <c r="E133" s="73" t="s">
        <v>171</v>
      </c>
      <c r="F133" s="73" t="s">
        <v>176</v>
      </c>
      <c r="G133" s="61" t="s">
        <v>92</v>
      </c>
      <c r="H133" s="74" t="s">
        <v>177</v>
      </c>
      <c r="I133" s="73" t="s">
        <v>178</v>
      </c>
      <c r="J133" s="73" t="s">
        <v>175</v>
      </c>
      <c r="K133" s="61" t="s">
        <v>70</v>
      </c>
      <c r="L133" s="61"/>
      <c r="M133" s="75" t="n">
        <v>46379</v>
      </c>
      <c r="N133" s="75"/>
      <c r="O133" s="75"/>
      <c r="P133" s="75"/>
      <c r="Q133" s="76" t="str">
        <f aca="false">IF(AND(M133="",N133="",O133="",P133=""),"COMPLETAR",IF(P133&lt;&gt;"",IF(O133="","Finalizado",IF(P133&lt;O133,"Finalizado anticipado",IF(P133=O133,"Finalizado","Finalizado con desfase"))),IF(N133&lt;&gt;"",IF(O133="","No planificado",IF(O133&lt;='Tablas y Glosario'!$F$1,"Atrasado",IF(M133="","En curso",IF(N133&gt;M133,"Inicio retrasado",IF(N133&lt;M133,"Inicio anticipado","En curso"))))),IF(M133="","COMPLETAR",IF('Tablas y Glosario'!$F$1&gt;=M133,"No iniciado","Programado")))))</f>
        <v>Programado</v>
      </c>
    </row>
    <row r="134" customFormat="false" ht="46.25" hidden="false" customHeight="false" outlineLevel="0" collapsed="false">
      <c r="A134" s="67"/>
      <c r="B134" s="68" t="s">
        <v>63</v>
      </c>
      <c r="C134" s="67" t="s">
        <v>156</v>
      </c>
      <c r="D134" s="68" t="s">
        <v>75</v>
      </c>
      <c r="E134" s="69" t="s">
        <v>171</v>
      </c>
      <c r="F134" s="69" t="s">
        <v>176</v>
      </c>
      <c r="G134" s="67" t="s">
        <v>93</v>
      </c>
      <c r="H134" s="70" t="s">
        <v>179</v>
      </c>
      <c r="I134" s="69" t="s">
        <v>180</v>
      </c>
      <c r="J134" s="69" t="s">
        <v>181</v>
      </c>
      <c r="K134" s="67" t="s">
        <v>70</v>
      </c>
      <c r="L134" s="67"/>
      <c r="M134" s="71" t="n">
        <v>46380</v>
      </c>
      <c r="N134" s="71"/>
      <c r="O134" s="71"/>
      <c r="P134" s="71"/>
      <c r="Q134" s="72" t="str">
        <f aca="false">IF(AND(M134="",N134="",O134="",P134=""),"COMPLETAR",IF(P134&lt;&gt;"",IF(O134="","Finalizado",IF(P134&lt;O134,"Finalizado anticipado",IF(P134=O134,"Finalizado","Finalizado con desfase"))),IF(N134&lt;&gt;"",IF(O134="","No planificado",IF(O134&lt;='Tablas y Glosario'!$F$1,"Atrasado",IF(M134="","En curso",IF(N134&gt;M134,"Inicio retrasado",IF(N134&lt;M134,"Inicio anticipado","En curso"))))),IF(M134="","COMPLETAR",IF('Tablas y Glosario'!$F$1&gt;=M134,"No iniciado","Programado")))))</f>
        <v>Programado</v>
      </c>
    </row>
    <row r="135" customFormat="false" ht="46.25" hidden="false" customHeight="false" outlineLevel="0" collapsed="false">
      <c r="A135" s="61"/>
      <c r="B135" s="60" t="s">
        <v>63</v>
      </c>
      <c r="C135" s="61" t="s">
        <v>156</v>
      </c>
      <c r="D135" s="60" t="s">
        <v>75</v>
      </c>
      <c r="E135" s="73" t="s">
        <v>171</v>
      </c>
      <c r="F135" s="73" t="s">
        <v>176</v>
      </c>
      <c r="G135" s="61" t="s">
        <v>94</v>
      </c>
      <c r="H135" s="74" t="s">
        <v>182</v>
      </c>
      <c r="I135" s="73" t="s">
        <v>183</v>
      </c>
      <c r="J135" s="73" t="s">
        <v>184</v>
      </c>
      <c r="K135" s="61" t="s">
        <v>70</v>
      </c>
      <c r="L135" s="61"/>
      <c r="M135" s="75" t="n">
        <v>46381</v>
      </c>
      <c r="N135" s="75"/>
      <c r="O135" s="75"/>
      <c r="P135" s="75"/>
      <c r="Q135" s="76" t="str">
        <f aca="false">IF(AND(M135="",N135="",O135="",P135=""),"COMPLETAR",IF(P135&lt;&gt;"",IF(O135="","Finalizado",IF(P135&lt;O135,"Finalizado anticipado",IF(P135=O135,"Finalizado","Finalizado con desfase"))),IF(N135&lt;&gt;"",IF(O135="","No planificado",IF(O135&lt;='Tablas y Glosario'!$F$1,"Atrasado",IF(M135="","En curso",IF(N135&gt;M135,"Inicio retrasado",IF(N135&lt;M135,"Inicio anticipado","En curso"))))),IF(M135="","COMPLETAR",IF('Tablas y Glosario'!$F$1&gt;=M135,"No iniciado","Programado")))))</f>
        <v>Programado</v>
      </c>
    </row>
    <row r="136" customFormat="false" ht="46.25" hidden="false" customHeight="false" outlineLevel="0" collapsed="false">
      <c r="A136" s="67"/>
      <c r="B136" s="68" t="s">
        <v>63</v>
      </c>
      <c r="C136" s="67" t="s">
        <v>156</v>
      </c>
      <c r="D136" s="68" t="s">
        <v>75</v>
      </c>
      <c r="E136" s="69" t="s">
        <v>171</v>
      </c>
      <c r="F136" s="69" t="s">
        <v>176</v>
      </c>
      <c r="G136" s="67" t="s">
        <v>95</v>
      </c>
      <c r="H136" s="70" t="s">
        <v>185</v>
      </c>
      <c r="I136" s="69" t="s">
        <v>186</v>
      </c>
      <c r="J136" s="69" t="s">
        <v>187</v>
      </c>
      <c r="K136" s="67" t="s">
        <v>70</v>
      </c>
      <c r="L136" s="67"/>
      <c r="M136" s="71" t="n">
        <v>46382</v>
      </c>
      <c r="N136" s="71"/>
      <c r="O136" s="71"/>
      <c r="P136" s="71"/>
      <c r="Q136" s="72" t="str">
        <f aca="false">IF(AND(M136="",N136="",O136="",P136=""),"COMPLETAR",IF(P136&lt;&gt;"",IF(O136="","Finalizado",IF(P136&lt;O136,"Finalizado anticipado",IF(P136=O136,"Finalizado","Finalizado con desfase"))),IF(N136&lt;&gt;"",IF(O136="","No planificado",IF(O136&lt;='Tablas y Glosario'!$F$1,"Atrasado",IF(M136="","En curso",IF(N136&gt;M136,"Inicio retrasado",IF(N136&lt;M136,"Inicio anticipado","En curso"))))),IF(M136="","COMPLETAR",IF('Tablas y Glosario'!$F$1&gt;=M136,"No iniciado","Programado")))))</f>
        <v>Programado</v>
      </c>
    </row>
    <row r="137" customFormat="false" ht="35.05" hidden="false" customHeight="false" outlineLevel="0" collapsed="false">
      <c r="A137" s="61"/>
      <c r="B137" s="60" t="s">
        <v>63</v>
      </c>
      <c r="C137" s="61" t="s">
        <v>156</v>
      </c>
      <c r="D137" s="60" t="s">
        <v>76</v>
      </c>
      <c r="E137" s="73" t="s">
        <v>188</v>
      </c>
      <c r="F137" s="73" t="s">
        <v>189</v>
      </c>
      <c r="G137" s="61" t="s">
        <v>96</v>
      </c>
      <c r="H137" s="74" t="s">
        <v>190</v>
      </c>
      <c r="I137" s="73" t="s">
        <v>191</v>
      </c>
      <c r="J137" s="73" t="s">
        <v>192</v>
      </c>
      <c r="K137" s="61" t="s">
        <v>71</v>
      </c>
      <c r="L137" s="61"/>
      <c r="M137" s="75" t="n">
        <v>46383</v>
      </c>
      <c r="N137" s="75"/>
      <c r="O137" s="75"/>
      <c r="P137" s="75"/>
      <c r="Q137" s="76" t="str">
        <f aca="false">IF(AND(M137="",N137="",O137="",P137=""),"COMPLETAR",IF(P137&lt;&gt;"",IF(O137="","Finalizado",IF(P137&lt;O137,"Finalizado anticipado",IF(P137=O137,"Finalizado","Finalizado con desfase"))),IF(N137&lt;&gt;"",IF(O137="","No planificado",IF(O137&lt;='Tablas y Glosario'!$F$1,"Atrasado",IF(M137="","En curso",IF(N137&gt;M137,"Inicio retrasado",IF(N137&lt;M137,"Inicio anticipado","En curso"))))),IF(M137="","COMPLETAR",IF('Tablas y Glosario'!$F$1&gt;=M137,"No iniciado","Programado")))))</f>
        <v>Programado</v>
      </c>
    </row>
    <row r="138" customFormat="false" ht="35.05" hidden="false" customHeight="false" outlineLevel="0" collapsed="false">
      <c r="A138" s="67"/>
      <c r="B138" s="68" t="s">
        <v>63</v>
      </c>
      <c r="C138" s="67" t="s">
        <v>156</v>
      </c>
      <c r="D138" s="68" t="s">
        <v>76</v>
      </c>
      <c r="E138" s="69" t="s">
        <v>188</v>
      </c>
      <c r="F138" s="69" t="s">
        <v>189</v>
      </c>
      <c r="G138" s="67" t="s">
        <v>97</v>
      </c>
      <c r="H138" s="70" t="s">
        <v>193</v>
      </c>
      <c r="I138" s="69" t="s">
        <v>110</v>
      </c>
      <c r="J138" s="69" t="s">
        <v>192</v>
      </c>
      <c r="K138" s="67" t="s">
        <v>70</v>
      </c>
      <c r="L138" s="67"/>
      <c r="M138" s="71" t="n">
        <v>46384</v>
      </c>
      <c r="N138" s="71"/>
      <c r="O138" s="71"/>
      <c r="P138" s="71"/>
      <c r="Q138" s="72" t="str">
        <f aca="false">IF(AND(M138="",N138="",O138="",P138=""),"COMPLETAR",IF(P138&lt;&gt;"",IF(O138="","Finalizado",IF(P138&lt;O138,"Finalizado anticipado",IF(P138=O138,"Finalizado","Finalizado con desfase"))),IF(N138&lt;&gt;"",IF(O138="","No planificado",IF(O138&lt;='Tablas y Glosario'!$F$1,"Atrasado",IF(M138="","En curso",IF(N138&gt;M138,"Inicio retrasado",IF(N138&lt;M138,"Inicio anticipado","En curso"))))),IF(M138="","COMPLETAR",IF('Tablas y Glosario'!$F$1&gt;=M138,"No iniciado","Programado")))))</f>
        <v>Programado</v>
      </c>
    </row>
    <row r="139" customFormat="false" ht="35.05" hidden="false" customHeight="false" outlineLevel="0" collapsed="false">
      <c r="A139" s="61"/>
      <c r="B139" s="60" t="s">
        <v>63</v>
      </c>
      <c r="C139" s="61" t="s">
        <v>156</v>
      </c>
      <c r="D139" s="60" t="s">
        <v>76</v>
      </c>
      <c r="E139" s="73" t="s">
        <v>188</v>
      </c>
      <c r="F139" s="73" t="s">
        <v>189</v>
      </c>
      <c r="G139" s="61" t="s">
        <v>98</v>
      </c>
      <c r="H139" s="74" t="s">
        <v>194</v>
      </c>
      <c r="I139" s="73" t="s">
        <v>195</v>
      </c>
      <c r="J139" s="73" t="s">
        <v>196</v>
      </c>
      <c r="K139" s="61" t="s">
        <v>71</v>
      </c>
      <c r="L139" s="61"/>
      <c r="M139" s="75" t="n">
        <v>46385</v>
      </c>
      <c r="N139" s="75"/>
      <c r="O139" s="75"/>
      <c r="P139" s="75"/>
      <c r="Q139" s="76" t="str">
        <f aca="false">IF(AND(M139="",N139="",O139="",P139=""),"COMPLETAR",IF(P139&lt;&gt;"",IF(O139="","Finalizado",IF(P139&lt;O139,"Finalizado anticipado",IF(P139=O139,"Finalizado","Finalizado con desfase"))),IF(N139&lt;&gt;"",IF(O139="","No planificado",IF(O139&lt;='Tablas y Glosario'!$F$1,"Atrasado",IF(M139="","En curso",IF(N139&gt;M139,"Inicio retrasado",IF(N139&lt;M139,"Inicio anticipado","En curso"))))),IF(M139="","COMPLETAR",IF('Tablas y Glosario'!$F$1&gt;=M139,"No iniciado","Programado")))))</f>
        <v>Programado</v>
      </c>
    </row>
    <row r="140" customFormat="false" ht="35.05" hidden="false" customHeight="false" outlineLevel="0" collapsed="false">
      <c r="A140" s="67"/>
      <c r="B140" s="68" t="s">
        <v>63</v>
      </c>
      <c r="C140" s="67" t="s">
        <v>156</v>
      </c>
      <c r="D140" s="68" t="s">
        <v>76</v>
      </c>
      <c r="E140" s="69" t="s">
        <v>188</v>
      </c>
      <c r="F140" s="69" t="s">
        <v>189</v>
      </c>
      <c r="G140" s="67" t="s">
        <v>99</v>
      </c>
      <c r="H140" s="70" t="s">
        <v>197</v>
      </c>
      <c r="I140" s="69" t="s">
        <v>110</v>
      </c>
      <c r="J140" s="69" t="s">
        <v>196</v>
      </c>
      <c r="K140" s="67" t="s">
        <v>70</v>
      </c>
      <c r="L140" s="67"/>
      <c r="M140" s="71" t="n">
        <v>46386</v>
      </c>
      <c r="N140" s="71"/>
      <c r="O140" s="71"/>
      <c r="P140" s="71"/>
      <c r="Q140" s="72" t="str">
        <f aca="false">IF(AND(M140="",N140="",O140="",P140=""),"COMPLETAR",IF(P140&lt;&gt;"",IF(O140="","Finalizado",IF(P140&lt;O140,"Finalizado anticipado",IF(P140=O140,"Finalizado","Finalizado con desfase"))),IF(N140&lt;&gt;"",IF(O140="","No planificado",IF(O140&lt;='Tablas y Glosario'!$F$1,"Atrasado",IF(M140="","En curso",IF(N140&gt;M140,"Inicio retrasado",IF(N140&lt;M140,"Inicio anticipado","En curso"))))),IF(M140="","COMPLETAR",IF('Tablas y Glosario'!$F$1&gt;=M140,"No iniciado","Programado")))))</f>
        <v>Programado</v>
      </c>
    </row>
    <row r="141" customFormat="false" ht="35.05" hidden="false" customHeight="false" outlineLevel="0" collapsed="false">
      <c r="A141" s="61"/>
      <c r="B141" s="60" t="s">
        <v>63</v>
      </c>
      <c r="C141" s="61" t="s">
        <v>156</v>
      </c>
      <c r="D141" s="60" t="s">
        <v>77</v>
      </c>
      <c r="E141" s="73" t="s">
        <v>198</v>
      </c>
      <c r="F141" s="73" t="s">
        <v>199</v>
      </c>
      <c r="G141" s="61" t="s">
        <v>100</v>
      </c>
      <c r="H141" s="74" t="s">
        <v>200</v>
      </c>
      <c r="I141" s="73" t="s">
        <v>201</v>
      </c>
      <c r="J141" s="73" t="s">
        <v>202</v>
      </c>
      <c r="K141" s="61" t="s">
        <v>70</v>
      </c>
      <c r="L141" s="61"/>
      <c r="M141" s="75" t="n">
        <v>46387</v>
      </c>
      <c r="N141" s="75"/>
      <c r="O141" s="75"/>
      <c r="P141" s="75"/>
      <c r="Q141" s="76" t="str">
        <f aca="false">IF(AND(M141="",N141="",O141="",P141=""),"COMPLETAR",IF(P141&lt;&gt;"",IF(O141="","Finalizado",IF(P141&lt;O141,"Finalizado anticipado",IF(P141=O141,"Finalizado","Finalizado con desfase"))),IF(N141&lt;&gt;"",IF(O141="","No planificado",IF(O141&lt;='Tablas y Glosario'!$F$1,"Atrasado",IF(M141="","En curso",IF(N141&gt;M141,"Inicio retrasado",IF(N141&lt;M141,"Inicio anticipado","En curso"))))),IF(M141="","COMPLETAR",IF('Tablas y Glosario'!$F$1&gt;=M141,"No iniciado","Programado")))))</f>
        <v>Programado</v>
      </c>
    </row>
    <row r="142" customFormat="false" ht="23.85" hidden="false" customHeight="false" outlineLevel="0" collapsed="false">
      <c r="A142" s="67"/>
      <c r="B142" s="68" t="s">
        <v>63</v>
      </c>
      <c r="C142" s="67" t="s">
        <v>156</v>
      </c>
      <c r="D142" s="68" t="s">
        <v>78</v>
      </c>
      <c r="E142" s="69" t="s">
        <v>203</v>
      </c>
      <c r="F142" s="69" t="s">
        <v>204</v>
      </c>
      <c r="G142" s="67" t="s">
        <v>101</v>
      </c>
      <c r="H142" s="70" t="s">
        <v>205</v>
      </c>
      <c r="I142" s="69" t="s">
        <v>206</v>
      </c>
      <c r="J142" s="69" t="s">
        <v>207</v>
      </c>
      <c r="K142" s="67" t="s">
        <v>71</v>
      </c>
      <c r="L142" s="67"/>
      <c r="M142" s="71" t="n">
        <v>46388</v>
      </c>
      <c r="N142" s="71"/>
      <c r="O142" s="71"/>
      <c r="P142" s="71"/>
      <c r="Q142" s="72" t="str">
        <f aca="false">IF(AND(M142="",N142="",O142="",P142=""),"COMPLETAR",IF(P142&lt;&gt;"",IF(O142="","Finalizado",IF(P142&lt;O142,"Finalizado anticipado",IF(P142=O142,"Finalizado","Finalizado con desfase"))),IF(N142&lt;&gt;"",IF(O142="","No planificado",IF(O142&lt;='Tablas y Glosario'!$F$1,"Atrasado",IF(M142="","En curso",IF(N142&gt;M142,"Inicio retrasado",IF(N142&lt;M142,"Inicio anticipado","En curso"))))),IF(M142="","COMPLETAR",IF('Tablas y Glosario'!$F$1&gt;=M142,"No iniciado","Programado")))))</f>
        <v>Programado</v>
      </c>
    </row>
    <row r="143" customFormat="false" ht="23.85" hidden="false" customHeight="false" outlineLevel="0" collapsed="false">
      <c r="A143" s="61"/>
      <c r="B143" s="60" t="s">
        <v>63</v>
      </c>
      <c r="C143" s="61" t="s">
        <v>156</v>
      </c>
      <c r="D143" s="60" t="s">
        <v>78</v>
      </c>
      <c r="E143" s="73" t="s">
        <v>203</v>
      </c>
      <c r="F143" s="73" t="s">
        <v>204</v>
      </c>
      <c r="G143" s="61" t="s">
        <v>102</v>
      </c>
      <c r="H143" s="74" t="s">
        <v>208</v>
      </c>
      <c r="I143" s="73" t="s">
        <v>209</v>
      </c>
      <c r="J143" s="73" t="s">
        <v>210</v>
      </c>
      <c r="K143" s="61" t="s">
        <v>71</v>
      </c>
      <c r="L143" s="61"/>
      <c r="M143" s="75" t="n">
        <v>46389</v>
      </c>
      <c r="N143" s="75"/>
      <c r="O143" s="75"/>
      <c r="P143" s="75"/>
      <c r="Q143" s="76" t="str">
        <f aca="false">IF(AND(M143="",N143="",O143="",P143=""),"COMPLETAR",IF(P143&lt;&gt;"",IF(O143="","Finalizado",IF(P143&lt;O143,"Finalizado anticipado",IF(P143=O143,"Finalizado","Finalizado con desfase"))),IF(N143&lt;&gt;"",IF(O143="","No planificado",IF(O143&lt;='Tablas y Glosario'!$F$1,"Atrasado",IF(M143="","En curso",IF(N143&gt;M143,"Inicio retrasado",IF(N143&lt;M143,"Inicio anticipado","En curso"))))),IF(M143="","COMPLETAR",IF('Tablas y Glosario'!$F$1&gt;=M143,"No iniciado","Programado")))))</f>
        <v>Programado</v>
      </c>
    </row>
    <row r="144" customFormat="false" ht="23.85" hidden="false" customHeight="false" outlineLevel="0" collapsed="false">
      <c r="A144" s="67"/>
      <c r="B144" s="68" t="s">
        <v>63</v>
      </c>
      <c r="C144" s="67" t="s">
        <v>156</v>
      </c>
      <c r="D144" s="68" t="s">
        <v>78</v>
      </c>
      <c r="E144" s="69" t="s">
        <v>203</v>
      </c>
      <c r="F144" s="69" t="s">
        <v>204</v>
      </c>
      <c r="G144" s="67" t="s">
        <v>103</v>
      </c>
      <c r="H144" s="70" t="s">
        <v>211</v>
      </c>
      <c r="I144" s="69" t="s">
        <v>212</v>
      </c>
      <c r="J144" s="69" t="s">
        <v>213</v>
      </c>
      <c r="K144" s="67" t="s">
        <v>71</v>
      </c>
      <c r="L144" s="67"/>
      <c r="M144" s="71" t="n">
        <v>46390</v>
      </c>
      <c r="N144" s="71"/>
      <c r="O144" s="71"/>
      <c r="P144" s="71"/>
      <c r="Q144" s="72" t="str">
        <f aca="false">IF(AND(M144="",N144="",O144="",P144=""),"COMPLETAR",IF(P144&lt;&gt;"",IF(O144="","Finalizado",IF(P144&lt;O144,"Finalizado anticipado",IF(P144=O144,"Finalizado","Finalizado con desfase"))),IF(N144&lt;&gt;"",IF(O144="","No planificado",IF(O144&lt;='Tablas y Glosario'!$F$1,"Atrasado",IF(M144="","En curso",IF(N144&gt;M144,"Inicio retrasado",IF(N144&lt;M144,"Inicio anticipado","En curso"))))),IF(M144="","COMPLETAR",IF('Tablas y Glosario'!$F$1&gt;=M144,"No iniciado","Programado")))))</f>
        <v>Programado</v>
      </c>
    </row>
    <row r="145" customFormat="false" ht="23.85" hidden="false" customHeight="false" outlineLevel="0" collapsed="false">
      <c r="A145" s="61"/>
      <c r="B145" s="60" t="s">
        <v>63</v>
      </c>
      <c r="C145" s="61" t="s">
        <v>156</v>
      </c>
      <c r="D145" s="60" t="s">
        <v>78</v>
      </c>
      <c r="E145" s="73" t="s">
        <v>203</v>
      </c>
      <c r="F145" s="73" t="s">
        <v>204</v>
      </c>
      <c r="G145" s="61" t="s">
        <v>104</v>
      </c>
      <c r="H145" s="74" t="s">
        <v>214</v>
      </c>
      <c r="I145" s="73" t="s">
        <v>215</v>
      </c>
      <c r="J145" s="73" t="s">
        <v>216</v>
      </c>
      <c r="K145" s="61" t="s">
        <v>71</v>
      </c>
      <c r="L145" s="61"/>
      <c r="M145" s="75" t="n">
        <v>46391</v>
      </c>
      <c r="N145" s="75"/>
      <c r="O145" s="75"/>
      <c r="P145" s="75"/>
      <c r="Q145" s="76" t="str">
        <f aca="false">IF(AND(M145="",N145="",O145="",P145=""),"COMPLETAR",IF(P145&lt;&gt;"",IF(O145="","Finalizado",IF(P145&lt;O145,"Finalizado anticipado",IF(P145=O145,"Finalizado","Finalizado con desfase"))),IF(N145&lt;&gt;"",IF(O145="","No planificado",IF(O145&lt;='Tablas y Glosario'!$F$1,"Atrasado",IF(M145="","En curso",IF(N145&gt;M145,"Inicio retrasado",IF(N145&lt;M145,"Inicio anticipado","En curso"))))),IF(M145="","COMPLETAR",IF('Tablas y Glosario'!$F$1&gt;=M145,"No iniciado","Programado")))))</f>
        <v>Programado</v>
      </c>
    </row>
    <row r="146" customFormat="false" ht="35.05" hidden="false" customHeight="false" outlineLevel="0" collapsed="false">
      <c r="A146" s="67"/>
      <c r="B146" s="68" t="s">
        <v>63</v>
      </c>
      <c r="C146" s="67" t="s">
        <v>156</v>
      </c>
      <c r="D146" s="68" t="s">
        <v>79</v>
      </c>
      <c r="E146" s="69" t="s">
        <v>217</v>
      </c>
      <c r="F146" s="69" t="s">
        <v>218</v>
      </c>
      <c r="G146" s="67" t="s">
        <v>105</v>
      </c>
      <c r="H146" s="70" t="s">
        <v>219</v>
      </c>
      <c r="I146" s="69" t="s">
        <v>220</v>
      </c>
      <c r="J146" s="69" t="s">
        <v>221</v>
      </c>
      <c r="K146" s="67" t="s">
        <v>70</v>
      </c>
      <c r="L146" s="67"/>
      <c r="M146" s="71" t="n">
        <v>46392</v>
      </c>
      <c r="N146" s="71"/>
      <c r="O146" s="71"/>
      <c r="P146" s="71"/>
      <c r="Q146" s="72" t="str">
        <f aca="false">IF(AND(M146="",N146="",O146="",P146=""),"COMPLETAR",IF(P146&lt;&gt;"",IF(O146="","Finalizado",IF(P146&lt;O146,"Finalizado anticipado",IF(P146=O146,"Finalizado","Finalizado con desfase"))),IF(N146&lt;&gt;"",IF(O146="","No planificado",IF(O146&lt;='Tablas y Glosario'!$F$1,"Atrasado",IF(M146="","En curso",IF(N146&gt;M146,"Inicio retrasado",IF(N146&lt;M146,"Inicio anticipado","En curso"))))),IF(M146="","COMPLETAR",IF('Tablas y Glosario'!$F$1&gt;=M146,"No iniciado","Programado")))))</f>
        <v>Programado</v>
      </c>
    </row>
    <row r="147" customFormat="false" ht="35.05" hidden="false" customHeight="false" outlineLevel="0" collapsed="false">
      <c r="A147" s="61"/>
      <c r="B147" s="60" t="s">
        <v>63</v>
      </c>
      <c r="C147" s="61" t="s">
        <v>156</v>
      </c>
      <c r="D147" s="60" t="s">
        <v>79</v>
      </c>
      <c r="E147" s="73" t="s">
        <v>217</v>
      </c>
      <c r="F147" s="73" t="s">
        <v>218</v>
      </c>
      <c r="G147" s="61" t="s">
        <v>106</v>
      </c>
      <c r="H147" s="74" t="s">
        <v>222</v>
      </c>
      <c r="I147" s="73" t="s">
        <v>223</v>
      </c>
      <c r="J147" s="73" t="s">
        <v>224</v>
      </c>
      <c r="K147" s="61" t="s">
        <v>70</v>
      </c>
      <c r="L147" s="61"/>
      <c r="M147" s="75" t="n">
        <v>46393</v>
      </c>
      <c r="N147" s="75"/>
      <c r="O147" s="75"/>
      <c r="P147" s="75"/>
      <c r="Q147" s="76" t="str">
        <f aca="false">IF(AND(M147="",N147="",O147="",P147=""),"COMPLETAR",IF(P147&lt;&gt;"",IF(O147="","Finalizado",IF(P147&lt;O147,"Finalizado anticipado",IF(P147=O147,"Finalizado","Finalizado con desfase"))),IF(N147&lt;&gt;"",IF(O147="","No planificado",IF(O147&lt;='Tablas y Glosario'!$F$1,"Atrasado",IF(M147="","En curso",IF(N147&gt;M147,"Inicio retrasado",IF(N147&lt;M147,"Inicio anticipado","En curso"))))),IF(M147="","COMPLETAR",IF('Tablas y Glosario'!$F$1&gt;=M147,"No iniciado","Programado")))))</f>
        <v>Programado</v>
      </c>
    </row>
    <row r="148" customFormat="false" ht="35.05" hidden="false" customHeight="false" outlineLevel="0" collapsed="false">
      <c r="A148" s="67"/>
      <c r="B148" s="68" t="s">
        <v>63</v>
      </c>
      <c r="C148" s="67" t="s">
        <v>156</v>
      </c>
      <c r="D148" s="68" t="s">
        <v>79</v>
      </c>
      <c r="E148" s="69" t="s">
        <v>217</v>
      </c>
      <c r="F148" s="69" t="s">
        <v>218</v>
      </c>
      <c r="G148" s="67" t="s">
        <v>107</v>
      </c>
      <c r="H148" s="70" t="s">
        <v>225</v>
      </c>
      <c r="I148" s="69" t="s">
        <v>226</v>
      </c>
      <c r="J148" s="69" t="s">
        <v>227</v>
      </c>
      <c r="K148" s="67" t="s">
        <v>71</v>
      </c>
      <c r="L148" s="67"/>
      <c r="M148" s="71" t="n">
        <v>46394</v>
      </c>
      <c r="N148" s="71"/>
      <c r="O148" s="71"/>
      <c r="P148" s="71"/>
      <c r="Q148" s="72" t="str">
        <f aca="false">IF(AND(M148="",N148="",O148="",P148=""),"COMPLETAR",IF(P148&lt;&gt;"",IF(O148="","Finalizado",IF(P148&lt;O148,"Finalizado anticipado",IF(P148=O148,"Finalizado","Finalizado con desfase"))),IF(N148&lt;&gt;"",IF(O148="","No planificado",IF(O148&lt;='Tablas y Glosario'!$F$1,"Atrasado",IF(M148="","En curso",IF(N148&gt;M148,"Inicio retrasado",IF(N148&lt;M148,"Inicio anticipado","En curso"))))),IF(M148="","COMPLETAR",IF('Tablas y Glosario'!$F$1&gt;=M148,"No iniciado","Programado")))))</f>
        <v>Programado</v>
      </c>
    </row>
    <row r="149" customFormat="false" ht="35.05" hidden="false" customHeight="false" outlineLevel="0" collapsed="false">
      <c r="A149" s="61"/>
      <c r="B149" s="60" t="s">
        <v>63</v>
      </c>
      <c r="C149" s="61" t="s">
        <v>156</v>
      </c>
      <c r="D149" s="60" t="s">
        <v>79</v>
      </c>
      <c r="E149" s="73" t="s">
        <v>217</v>
      </c>
      <c r="F149" s="73" t="s">
        <v>218</v>
      </c>
      <c r="G149" s="61" t="s">
        <v>108</v>
      </c>
      <c r="H149" s="74" t="s">
        <v>228</v>
      </c>
      <c r="I149" s="73" t="s">
        <v>229</v>
      </c>
      <c r="J149" s="73" t="s">
        <v>230</v>
      </c>
      <c r="K149" s="61" t="s">
        <v>71</v>
      </c>
      <c r="L149" s="61"/>
      <c r="M149" s="75" t="n">
        <v>46395</v>
      </c>
      <c r="N149" s="75"/>
      <c r="O149" s="75"/>
      <c r="P149" s="75"/>
      <c r="Q149" s="76" t="str">
        <f aca="false">IF(AND(M149="",N149="",O149="",P149=""),"COMPLETAR",IF(P149&lt;&gt;"",IF(O149="","Finalizado",IF(P149&lt;O149,"Finalizado anticipado",IF(P149=O149,"Finalizado","Finalizado con desfase"))),IF(N149&lt;&gt;"",IF(O149="","No planificado",IF(O149&lt;='Tablas y Glosario'!$F$1,"Atrasado",IF(M149="","En curso",IF(N149&gt;M149,"Inicio retrasado",IF(N149&lt;M149,"Inicio anticipado","En curso"))))),IF(M149="","COMPLETAR",IF('Tablas y Glosario'!$F$1&gt;=M149,"No iniciado","Programado")))))</f>
        <v>Programado</v>
      </c>
    </row>
    <row r="150" customFormat="false" ht="35.05" hidden="false" customHeight="false" outlineLevel="0" collapsed="false">
      <c r="A150" s="67"/>
      <c r="B150" s="68" t="s">
        <v>63</v>
      </c>
      <c r="C150" s="67" t="s">
        <v>156</v>
      </c>
      <c r="D150" s="68" t="s">
        <v>79</v>
      </c>
      <c r="E150" s="69" t="s">
        <v>217</v>
      </c>
      <c r="F150" s="69" t="s">
        <v>218</v>
      </c>
      <c r="G150" s="67" t="s">
        <v>109</v>
      </c>
      <c r="H150" s="70" t="s">
        <v>222</v>
      </c>
      <c r="I150" s="69" t="s">
        <v>231</v>
      </c>
      <c r="J150" s="69" t="s">
        <v>232</v>
      </c>
      <c r="K150" s="67" t="s">
        <v>70</v>
      </c>
      <c r="L150" s="67"/>
      <c r="M150" s="71" t="n">
        <v>46396</v>
      </c>
      <c r="N150" s="71"/>
      <c r="O150" s="71"/>
      <c r="P150" s="71"/>
      <c r="Q150" s="72" t="str">
        <f aca="false">IF(AND(M150="",N150="",O150="",P150=""),"COMPLETAR",IF(P150&lt;&gt;"",IF(O150="","Finalizado",IF(P150&lt;O150,"Finalizado anticipado",IF(P150=O150,"Finalizado","Finalizado con desfase"))),IF(N150&lt;&gt;"",IF(O150="","No planificado",IF(O150&lt;='Tablas y Glosario'!$F$1,"Atrasado",IF(M150="","En curso",IF(N150&gt;M150,"Inicio retrasado",IF(N150&lt;M150,"Inicio anticipado","En curso"))))),IF(M150="","COMPLETAR",IF('Tablas y Glosario'!$F$1&gt;=M150,"No iniciado","Programado")))))</f>
        <v>Programado</v>
      </c>
    </row>
    <row r="151" customFormat="false" ht="35.05" hidden="false" customHeight="false" outlineLevel="0" collapsed="false">
      <c r="A151" s="61"/>
      <c r="B151" s="60" t="s">
        <v>63</v>
      </c>
      <c r="C151" s="61" t="s">
        <v>156</v>
      </c>
      <c r="D151" s="60" t="s">
        <v>79</v>
      </c>
      <c r="E151" s="73" t="s">
        <v>217</v>
      </c>
      <c r="F151" s="73" t="s">
        <v>218</v>
      </c>
      <c r="G151" s="61" t="s">
        <v>110</v>
      </c>
      <c r="H151" s="74" t="s">
        <v>233</v>
      </c>
      <c r="I151" s="73" t="s">
        <v>234</v>
      </c>
      <c r="J151" s="73" t="s">
        <v>235</v>
      </c>
      <c r="K151" s="61" t="s">
        <v>70</v>
      </c>
      <c r="L151" s="61"/>
      <c r="M151" s="75" t="n">
        <v>46397</v>
      </c>
      <c r="N151" s="75"/>
      <c r="O151" s="75"/>
      <c r="P151" s="75"/>
      <c r="Q151" s="76" t="str">
        <f aca="false">IF(AND(M151="",N151="",O151="",P151=""),"COMPLETAR",IF(P151&lt;&gt;"",IF(O151="","Finalizado",IF(P151&lt;O151,"Finalizado anticipado",IF(P151=O151,"Finalizado","Finalizado con desfase"))),IF(N151&lt;&gt;"",IF(O151="","No planificado",IF(O151&lt;='Tablas y Glosario'!$F$1,"Atrasado",IF(M151="","En curso",IF(N151&gt;M151,"Inicio retrasado",IF(N151&lt;M151,"Inicio anticipado","En curso"))))),IF(M151="","COMPLETAR",IF('Tablas y Glosario'!$F$1&gt;=M151,"No iniciado","Programado")))))</f>
        <v>Programado</v>
      </c>
    </row>
    <row r="152" customFormat="false" ht="35.05" hidden="false" customHeight="false" outlineLevel="0" collapsed="false">
      <c r="A152" s="67"/>
      <c r="B152" s="68" t="s">
        <v>63</v>
      </c>
      <c r="C152" s="67" t="s">
        <v>156</v>
      </c>
      <c r="D152" s="68" t="s">
        <v>80</v>
      </c>
      <c r="E152" s="69" t="s">
        <v>236</v>
      </c>
      <c r="F152" s="69" t="s">
        <v>237</v>
      </c>
      <c r="G152" s="67" t="s">
        <v>111</v>
      </c>
      <c r="H152" s="70" t="s">
        <v>238</v>
      </c>
      <c r="I152" s="69" t="s">
        <v>239</v>
      </c>
      <c r="J152" s="69" t="s">
        <v>240</v>
      </c>
      <c r="K152" s="67" t="s">
        <v>70</v>
      </c>
      <c r="L152" s="67"/>
      <c r="M152" s="71" t="n">
        <v>46398</v>
      </c>
      <c r="N152" s="71"/>
      <c r="O152" s="71"/>
      <c r="P152" s="71"/>
      <c r="Q152" s="72" t="str">
        <f aca="false">IF(AND(M152="",N152="",O152="",P152=""),"COMPLETAR",IF(P152&lt;&gt;"",IF(O152="","Finalizado",IF(P152&lt;O152,"Finalizado anticipado",IF(P152=O152,"Finalizado","Finalizado con desfase"))),IF(N152&lt;&gt;"",IF(O152="","No planificado",IF(O152&lt;='Tablas y Glosario'!$F$1,"Atrasado",IF(M152="","En curso",IF(N152&gt;M152,"Inicio retrasado",IF(N152&lt;M152,"Inicio anticipado","En curso"))))),IF(M152="","COMPLETAR",IF('Tablas y Glosario'!$F$1&gt;=M152,"No iniciado","Programado")))))</f>
        <v>Programado</v>
      </c>
    </row>
    <row r="153" customFormat="false" ht="35.05" hidden="false" customHeight="false" outlineLevel="0" collapsed="false">
      <c r="A153" s="61"/>
      <c r="B153" s="60" t="s">
        <v>63</v>
      </c>
      <c r="C153" s="61" t="s">
        <v>156</v>
      </c>
      <c r="D153" s="60" t="s">
        <v>80</v>
      </c>
      <c r="E153" s="73" t="s">
        <v>236</v>
      </c>
      <c r="F153" s="73" t="s">
        <v>237</v>
      </c>
      <c r="G153" s="61" t="s">
        <v>112</v>
      </c>
      <c r="H153" s="74" t="s">
        <v>241</v>
      </c>
      <c r="I153" s="73" t="s">
        <v>242</v>
      </c>
      <c r="J153" s="73" t="s">
        <v>243</v>
      </c>
      <c r="K153" s="61" t="s">
        <v>71</v>
      </c>
      <c r="L153" s="61"/>
      <c r="M153" s="75" t="n">
        <v>46399</v>
      </c>
      <c r="N153" s="75"/>
      <c r="O153" s="75"/>
      <c r="P153" s="75"/>
      <c r="Q153" s="76" t="str">
        <f aca="false">IF(AND(M153="",N153="",O153="",P153=""),"COMPLETAR",IF(P153&lt;&gt;"",IF(O153="","Finalizado",IF(P153&lt;O153,"Finalizado anticipado",IF(P153=O153,"Finalizado","Finalizado con desfase"))),IF(N153&lt;&gt;"",IF(O153="","No planificado",IF(O153&lt;='Tablas y Glosario'!$F$1,"Atrasado",IF(M153="","En curso",IF(N153&gt;M153,"Inicio retrasado",IF(N153&lt;M153,"Inicio anticipado","En curso"))))),IF(M153="","COMPLETAR",IF('Tablas y Glosario'!$F$1&gt;=M153,"No iniciado","Programado")))))</f>
        <v>Programado</v>
      </c>
    </row>
    <row r="154" customFormat="false" ht="35.05" hidden="false" customHeight="false" outlineLevel="0" collapsed="false">
      <c r="A154" s="67"/>
      <c r="B154" s="68" t="s">
        <v>63</v>
      </c>
      <c r="C154" s="67" t="s">
        <v>156</v>
      </c>
      <c r="D154" s="68" t="s">
        <v>80</v>
      </c>
      <c r="E154" s="69" t="s">
        <v>236</v>
      </c>
      <c r="F154" s="69" t="s">
        <v>237</v>
      </c>
      <c r="G154" s="67" t="s">
        <v>113</v>
      </c>
      <c r="H154" s="70" t="s">
        <v>244</v>
      </c>
      <c r="I154" s="69" t="s">
        <v>245</v>
      </c>
      <c r="J154" s="69" t="s">
        <v>246</v>
      </c>
      <c r="K154" s="67" t="s">
        <v>71</v>
      </c>
      <c r="L154" s="67"/>
      <c r="M154" s="71" t="n">
        <v>46400</v>
      </c>
      <c r="N154" s="71"/>
      <c r="O154" s="71"/>
      <c r="P154" s="71"/>
      <c r="Q154" s="72" t="str">
        <f aca="false">IF(AND(M154="",N154="",O154="",P154=""),"COMPLETAR",IF(P154&lt;&gt;"",IF(O154="","Finalizado",IF(P154&lt;O154,"Finalizado anticipado",IF(P154=O154,"Finalizado","Finalizado con desfase"))),IF(N154&lt;&gt;"",IF(O154="","No planificado",IF(O154&lt;='Tablas y Glosario'!$F$1,"Atrasado",IF(M154="","En curso",IF(N154&gt;M154,"Inicio retrasado",IF(N154&lt;M154,"Inicio anticipado","En curso"))))),IF(M154="","COMPLETAR",IF('Tablas y Glosario'!$F$1&gt;=M154,"No iniciado","Programado")))))</f>
        <v>Programado</v>
      </c>
    </row>
    <row r="155" customFormat="false" ht="35.05" hidden="false" customHeight="false" outlineLevel="0" collapsed="false">
      <c r="A155" s="61"/>
      <c r="B155" s="60" t="s">
        <v>63</v>
      </c>
      <c r="C155" s="61" t="s">
        <v>156</v>
      </c>
      <c r="D155" s="60" t="s">
        <v>80</v>
      </c>
      <c r="E155" s="73" t="s">
        <v>236</v>
      </c>
      <c r="F155" s="73" t="s">
        <v>237</v>
      </c>
      <c r="G155" s="61" t="s">
        <v>103</v>
      </c>
      <c r="H155" s="74" t="s">
        <v>247</v>
      </c>
      <c r="I155" s="73" t="s">
        <v>248</v>
      </c>
      <c r="J155" s="73" t="s">
        <v>249</v>
      </c>
      <c r="K155" s="61" t="s">
        <v>71</v>
      </c>
      <c r="L155" s="61"/>
      <c r="M155" s="75" t="n">
        <v>46401</v>
      </c>
      <c r="N155" s="75"/>
      <c r="O155" s="75"/>
      <c r="P155" s="75"/>
      <c r="Q155" s="76" t="str">
        <f aca="false">IF(AND(M155="",N155="",O155="",P155=""),"COMPLETAR",IF(P155&lt;&gt;"",IF(O155="","Finalizado",IF(P155&lt;O155,"Finalizado anticipado",IF(P155=O155,"Finalizado","Finalizado con desfase"))),IF(N155&lt;&gt;"",IF(O155="","No planificado",IF(O155&lt;='Tablas y Glosario'!$F$1,"Atrasado",IF(M155="","En curso",IF(N155&gt;M155,"Inicio retrasado",IF(N155&lt;M155,"Inicio anticipado","En curso"))))),IF(M155="","COMPLETAR",IF('Tablas y Glosario'!$F$1&gt;=M155,"No iniciado","Programado")))))</f>
        <v>Programado</v>
      </c>
    </row>
    <row r="156" customFormat="false" ht="35.05" hidden="false" customHeight="false" outlineLevel="0" collapsed="false">
      <c r="A156" s="67"/>
      <c r="B156" s="68" t="s">
        <v>63</v>
      </c>
      <c r="C156" s="67" t="s">
        <v>156</v>
      </c>
      <c r="D156" s="68" t="s">
        <v>80</v>
      </c>
      <c r="E156" s="69" t="s">
        <v>236</v>
      </c>
      <c r="F156" s="69" t="s">
        <v>237</v>
      </c>
      <c r="G156" s="67" t="s">
        <v>114</v>
      </c>
      <c r="H156" s="70" t="s">
        <v>250</v>
      </c>
      <c r="I156" s="69" t="s">
        <v>251</v>
      </c>
      <c r="J156" s="69" t="s">
        <v>252</v>
      </c>
      <c r="K156" s="67" t="s">
        <v>70</v>
      </c>
      <c r="L156" s="67"/>
      <c r="M156" s="71" t="n">
        <v>46402</v>
      </c>
      <c r="N156" s="71"/>
      <c r="O156" s="71"/>
      <c r="P156" s="71"/>
      <c r="Q156" s="72" t="str">
        <f aca="false">IF(AND(M156="",N156="",O156="",P156=""),"COMPLETAR",IF(P156&lt;&gt;"",IF(O156="","Finalizado",IF(P156&lt;O156,"Finalizado anticipado",IF(P156=O156,"Finalizado","Finalizado con desfase"))),IF(N156&lt;&gt;"",IF(O156="","No planificado",IF(O156&lt;='Tablas y Glosario'!$F$1,"Atrasado",IF(M156="","En curso",IF(N156&gt;M156,"Inicio retrasado",IF(N156&lt;M156,"Inicio anticipado","En curso"))))),IF(M156="","COMPLETAR",IF('Tablas y Glosario'!$F$1&gt;=M156,"No iniciado","Programado")))))</f>
        <v>Programado</v>
      </c>
    </row>
    <row r="157" customFormat="false" ht="35.05" hidden="false" customHeight="false" outlineLevel="0" collapsed="false">
      <c r="A157" s="61"/>
      <c r="B157" s="60" t="s">
        <v>63</v>
      </c>
      <c r="C157" s="61" t="s">
        <v>156</v>
      </c>
      <c r="D157" s="60" t="s">
        <v>81</v>
      </c>
      <c r="E157" s="73" t="s">
        <v>253</v>
      </c>
      <c r="F157" s="73" t="s">
        <v>254</v>
      </c>
      <c r="G157" s="61" t="s">
        <v>115</v>
      </c>
      <c r="H157" s="74" t="s">
        <v>255</v>
      </c>
      <c r="I157" s="73" t="s">
        <v>256</v>
      </c>
      <c r="J157" s="73" t="s">
        <v>257</v>
      </c>
      <c r="K157" s="61" t="s">
        <v>71</v>
      </c>
      <c r="L157" s="61"/>
      <c r="M157" s="75" t="n">
        <v>46403</v>
      </c>
      <c r="N157" s="75"/>
      <c r="O157" s="75"/>
      <c r="P157" s="75"/>
      <c r="Q157" s="76" t="str">
        <f aca="false">IF(AND(M157="",N157="",O157="",P157=""),"COMPLETAR",IF(P157&lt;&gt;"",IF(O157="","Finalizado",IF(P157&lt;O157,"Finalizado anticipado",IF(P157=O157,"Finalizado","Finalizado con desfase"))),IF(N157&lt;&gt;"",IF(O157="","No planificado",IF(O157&lt;='Tablas y Glosario'!$F$1,"Atrasado",IF(M157="","En curso",IF(N157&gt;M157,"Inicio retrasado",IF(N157&lt;M157,"Inicio anticipado","En curso"))))),IF(M157="","COMPLETAR",IF('Tablas y Glosario'!$F$1&gt;=M157,"No iniciado","Programado")))))</f>
        <v>Programado</v>
      </c>
    </row>
    <row r="158" customFormat="false" ht="35.05" hidden="false" customHeight="false" outlineLevel="0" collapsed="false">
      <c r="A158" s="67"/>
      <c r="B158" s="68" t="s">
        <v>63</v>
      </c>
      <c r="C158" s="67" t="s">
        <v>156</v>
      </c>
      <c r="D158" s="68" t="s">
        <v>81</v>
      </c>
      <c r="E158" s="69" t="s">
        <v>253</v>
      </c>
      <c r="F158" s="69" t="s">
        <v>254</v>
      </c>
      <c r="G158" s="67" t="s">
        <v>116</v>
      </c>
      <c r="H158" s="70" t="s">
        <v>258</v>
      </c>
      <c r="I158" s="69" t="s">
        <v>259</v>
      </c>
      <c r="J158" s="69" t="s">
        <v>260</v>
      </c>
      <c r="K158" s="67" t="s">
        <v>71</v>
      </c>
      <c r="L158" s="67"/>
      <c r="M158" s="71" t="n">
        <v>46404</v>
      </c>
      <c r="N158" s="71"/>
      <c r="O158" s="71"/>
      <c r="P158" s="71"/>
      <c r="Q158" s="72" t="str">
        <f aca="false">IF(AND(M158="",N158="",O158="",P158=""),"COMPLETAR",IF(P158&lt;&gt;"",IF(O158="","Finalizado",IF(P158&lt;O158,"Finalizado anticipado",IF(P158=O158,"Finalizado","Finalizado con desfase"))),IF(N158&lt;&gt;"",IF(O158="","No planificado",IF(O158&lt;='Tablas y Glosario'!$F$1,"Atrasado",IF(M158="","En curso",IF(N158&gt;M158,"Inicio retrasado",IF(N158&lt;M158,"Inicio anticipado","En curso"))))),IF(M158="","COMPLETAR",IF('Tablas y Glosario'!$F$1&gt;=M158,"No iniciado","Programado")))))</f>
        <v>Programado</v>
      </c>
    </row>
    <row r="159" customFormat="false" ht="35.05" hidden="false" customHeight="false" outlineLevel="0" collapsed="false">
      <c r="A159" s="61"/>
      <c r="B159" s="60" t="s">
        <v>63</v>
      </c>
      <c r="C159" s="61" t="s">
        <v>156</v>
      </c>
      <c r="D159" s="60" t="s">
        <v>81</v>
      </c>
      <c r="E159" s="73" t="s">
        <v>253</v>
      </c>
      <c r="F159" s="73" t="s">
        <v>254</v>
      </c>
      <c r="G159" s="61" t="s">
        <v>117</v>
      </c>
      <c r="H159" s="74" t="s">
        <v>261</v>
      </c>
      <c r="I159" s="73" t="s">
        <v>262</v>
      </c>
      <c r="J159" s="73" t="s">
        <v>263</v>
      </c>
      <c r="K159" s="61" t="s">
        <v>71</v>
      </c>
      <c r="L159" s="61"/>
      <c r="M159" s="75" t="n">
        <v>46405</v>
      </c>
      <c r="N159" s="75"/>
      <c r="O159" s="75"/>
      <c r="P159" s="75"/>
      <c r="Q159" s="76" t="str">
        <f aca="false">IF(AND(M159="",N159="",O159="",P159=""),"COMPLETAR",IF(P159&lt;&gt;"",IF(O159="","Finalizado",IF(P159&lt;O159,"Finalizado anticipado",IF(P159=O159,"Finalizado","Finalizado con desfase"))),IF(N159&lt;&gt;"",IF(O159="","No planificado",IF(O159&lt;='Tablas y Glosario'!$F$1,"Atrasado",IF(M159="","En curso",IF(N159&gt;M159,"Inicio retrasado",IF(N159&lt;M159,"Inicio anticipado","En curso"))))),IF(M159="","COMPLETAR",IF('Tablas y Glosario'!$F$1&gt;=M159,"No iniciado","Programado")))))</f>
        <v>Programado</v>
      </c>
    </row>
    <row r="160" customFormat="false" ht="35.05" hidden="false" customHeight="false" outlineLevel="0" collapsed="false">
      <c r="A160" s="67"/>
      <c r="B160" s="68" t="s">
        <v>63</v>
      </c>
      <c r="C160" s="67" t="s">
        <v>156</v>
      </c>
      <c r="D160" s="68" t="s">
        <v>81</v>
      </c>
      <c r="E160" s="69" t="s">
        <v>253</v>
      </c>
      <c r="F160" s="69" t="s">
        <v>254</v>
      </c>
      <c r="G160" s="67" t="s">
        <v>118</v>
      </c>
      <c r="H160" s="70" t="s">
        <v>264</v>
      </c>
      <c r="I160" s="69" t="s">
        <v>265</v>
      </c>
      <c r="J160" s="69" t="s">
        <v>266</v>
      </c>
      <c r="K160" s="67" t="s">
        <v>71</v>
      </c>
      <c r="L160" s="67"/>
      <c r="M160" s="71" t="n">
        <v>46406</v>
      </c>
      <c r="N160" s="71"/>
      <c r="O160" s="71"/>
      <c r="P160" s="71"/>
      <c r="Q160" s="72" t="str">
        <f aca="false">IF(AND(M160="",N160="",O160="",P160=""),"COMPLETAR",IF(P160&lt;&gt;"",IF(O160="","Finalizado",IF(P160&lt;O160,"Finalizado anticipado",IF(P160=O160,"Finalizado","Finalizado con desfase"))),IF(N160&lt;&gt;"",IF(O160="","No planificado",IF(O160&lt;='Tablas y Glosario'!$F$1,"Atrasado",IF(M160="","En curso",IF(N160&gt;M160,"Inicio retrasado",IF(N160&lt;M160,"Inicio anticipado","En curso"))))),IF(M160="","COMPLETAR",IF('Tablas y Glosario'!$F$1&gt;=M160,"No iniciado","Programado")))))</f>
        <v>Programado</v>
      </c>
    </row>
    <row r="161" customFormat="false" ht="35.05" hidden="false" customHeight="false" outlineLevel="0" collapsed="false">
      <c r="A161" s="61"/>
      <c r="B161" s="60" t="s">
        <v>63</v>
      </c>
      <c r="C161" s="61" t="s">
        <v>156</v>
      </c>
      <c r="D161" s="60" t="s">
        <v>81</v>
      </c>
      <c r="E161" s="73" t="s">
        <v>253</v>
      </c>
      <c r="F161" s="73" t="s">
        <v>254</v>
      </c>
      <c r="G161" s="61" t="s">
        <v>119</v>
      </c>
      <c r="H161" s="74" t="s">
        <v>267</v>
      </c>
      <c r="I161" s="73" t="s">
        <v>268</v>
      </c>
      <c r="J161" s="73" t="s">
        <v>269</v>
      </c>
      <c r="K161" s="61" t="s">
        <v>71</v>
      </c>
      <c r="L161" s="61"/>
      <c r="M161" s="75" t="n">
        <v>46407</v>
      </c>
      <c r="N161" s="75"/>
      <c r="O161" s="75"/>
      <c r="P161" s="75"/>
      <c r="Q161" s="76" t="str">
        <f aca="false">IF(AND(M161="",N161="",O161="",P161=""),"COMPLETAR",IF(P161&lt;&gt;"",IF(O161="","Finalizado",IF(P161&lt;O161,"Finalizado anticipado",IF(P161=O161,"Finalizado","Finalizado con desfase"))),IF(N161&lt;&gt;"",IF(O161="","No planificado",IF(O161&lt;='Tablas y Glosario'!$F$1,"Atrasado",IF(M161="","En curso",IF(N161&gt;M161,"Inicio retrasado",IF(N161&lt;M161,"Inicio anticipado","En curso"))))),IF(M161="","COMPLETAR",IF('Tablas y Glosario'!$F$1&gt;=M161,"No iniciado","Programado")))))</f>
        <v>Programado</v>
      </c>
    </row>
    <row r="162" customFormat="false" ht="35.05" hidden="false" customHeight="false" outlineLevel="0" collapsed="false">
      <c r="A162" s="67"/>
      <c r="B162" s="68" t="s">
        <v>63</v>
      </c>
      <c r="C162" s="67" t="s">
        <v>156</v>
      </c>
      <c r="D162" s="68" t="s">
        <v>81</v>
      </c>
      <c r="E162" s="69" t="s">
        <v>253</v>
      </c>
      <c r="F162" s="69" t="s">
        <v>254</v>
      </c>
      <c r="G162" s="67" t="s">
        <v>120</v>
      </c>
      <c r="H162" s="70" t="s">
        <v>270</v>
      </c>
      <c r="I162" s="69" t="s">
        <v>271</v>
      </c>
      <c r="J162" s="69" t="s">
        <v>272</v>
      </c>
      <c r="K162" s="67" t="s">
        <v>70</v>
      </c>
      <c r="L162" s="67"/>
      <c r="M162" s="71" t="n">
        <v>46408</v>
      </c>
      <c r="N162" s="71"/>
      <c r="O162" s="71"/>
      <c r="P162" s="71"/>
      <c r="Q162" s="72" t="str">
        <f aca="false">IF(AND(M162="",N162="",O162="",P162=""),"COMPLETAR",IF(P162&lt;&gt;"",IF(O162="","Finalizado",IF(P162&lt;O162,"Finalizado anticipado",IF(P162=O162,"Finalizado","Finalizado con desfase"))),IF(N162&lt;&gt;"",IF(O162="","No planificado",IF(O162&lt;='Tablas y Glosario'!$F$1,"Atrasado",IF(M162="","En curso",IF(N162&gt;M162,"Inicio retrasado",IF(N162&lt;M162,"Inicio anticipado","En curso"))))),IF(M162="","COMPLETAR",IF('Tablas y Glosario'!$F$1&gt;=M162,"No iniciado","Programado")))))</f>
        <v>Programado</v>
      </c>
    </row>
    <row r="163" customFormat="false" ht="35.05" hidden="false" customHeight="false" outlineLevel="0" collapsed="false">
      <c r="A163" s="61"/>
      <c r="B163" s="60" t="s">
        <v>63</v>
      </c>
      <c r="C163" s="61" t="s">
        <v>156</v>
      </c>
      <c r="D163" s="60" t="s">
        <v>82</v>
      </c>
      <c r="E163" s="73" t="s">
        <v>273</v>
      </c>
      <c r="F163" s="73" t="s">
        <v>274</v>
      </c>
      <c r="G163" s="61" t="s">
        <v>121</v>
      </c>
      <c r="H163" s="74" t="s">
        <v>275</v>
      </c>
      <c r="I163" s="73" t="s">
        <v>276</v>
      </c>
      <c r="J163" s="73" t="s">
        <v>277</v>
      </c>
      <c r="K163" s="61" t="s">
        <v>71</v>
      </c>
      <c r="L163" s="61"/>
      <c r="M163" s="75" t="n">
        <v>46409</v>
      </c>
      <c r="N163" s="75"/>
      <c r="O163" s="75"/>
      <c r="P163" s="75"/>
      <c r="Q163" s="76" t="str">
        <f aca="false">IF(AND(M163="",N163="",O163="",P163=""),"COMPLETAR",IF(P163&lt;&gt;"",IF(O163="","Finalizado",IF(P163&lt;O163,"Finalizado anticipado",IF(P163=O163,"Finalizado","Finalizado con desfase"))),IF(N163&lt;&gt;"",IF(O163="","No planificado",IF(O163&lt;='Tablas y Glosario'!$F$1,"Atrasado",IF(M163="","En curso",IF(N163&gt;M163,"Inicio retrasado",IF(N163&lt;M163,"Inicio anticipado","En curso"))))),IF(M163="","COMPLETAR",IF('Tablas y Glosario'!$F$1&gt;=M163,"No iniciado","Programado")))))</f>
        <v>Programado</v>
      </c>
    </row>
    <row r="164" customFormat="false" ht="35.05" hidden="false" customHeight="false" outlineLevel="0" collapsed="false">
      <c r="A164" s="67"/>
      <c r="B164" s="68" t="s">
        <v>63</v>
      </c>
      <c r="C164" s="67" t="s">
        <v>156</v>
      </c>
      <c r="D164" s="68" t="s">
        <v>82</v>
      </c>
      <c r="E164" s="69" t="s">
        <v>273</v>
      </c>
      <c r="F164" s="69" t="s">
        <v>274</v>
      </c>
      <c r="G164" s="67" t="s">
        <v>122</v>
      </c>
      <c r="H164" s="70" t="s">
        <v>278</v>
      </c>
      <c r="I164" s="69" t="s">
        <v>279</v>
      </c>
      <c r="J164" s="69" t="s">
        <v>280</v>
      </c>
      <c r="K164" s="67" t="s">
        <v>71</v>
      </c>
      <c r="L164" s="67"/>
      <c r="M164" s="71" t="n">
        <v>46410</v>
      </c>
      <c r="N164" s="71"/>
      <c r="O164" s="71"/>
      <c r="P164" s="71"/>
      <c r="Q164" s="72" t="str">
        <f aca="false">IF(AND(M164="",N164="",O164="",P164=""),"COMPLETAR",IF(P164&lt;&gt;"",IF(O164="","Finalizado",IF(P164&lt;O164,"Finalizado anticipado",IF(P164=O164,"Finalizado","Finalizado con desfase"))),IF(N164&lt;&gt;"",IF(O164="","No planificado",IF(O164&lt;='Tablas y Glosario'!$F$1,"Atrasado",IF(M164="","En curso",IF(N164&gt;M164,"Inicio retrasado",IF(N164&lt;M164,"Inicio anticipado","En curso"))))),IF(M164="","COMPLETAR",IF('Tablas y Glosario'!$F$1&gt;=M164,"No iniciado","Programado")))))</f>
        <v>Programado</v>
      </c>
    </row>
    <row r="165" customFormat="false" ht="35.05" hidden="false" customHeight="false" outlineLevel="0" collapsed="false">
      <c r="A165" s="61"/>
      <c r="B165" s="60" t="s">
        <v>63</v>
      </c>
      <c r="C165" s="61" t="s">
        <v>156</v>
      </c>
      <c r="D165" s="60" t="s">
        <v>82</v>
      </c>
      <c r="E165" s="73" t="s">
        <v>273</v>
      </c>
      <c r="F165" s="73" t="s">
        <v>274</v>
      </c>
      <c r="G165" s="61" t="s">
        <v>123</v>
      </c>
      <c r="H165" s="74" t="s">
        <v>281</v>
      </c>
      <c r="I165" s="73" t="s">
        <v>282</v>
      </c>
      <c r="J165" s="73" t="s">
        <v>227</v>
      </c>
      <c r="K165" s="61" t="s">
        <v>71</v>
      </c>
      <c r="L165" s="61"/>
      <c r="M165" s="75" t="n">
        <v>46411</v>
      </c>
      <c r="N165" s="75"/>
      <c r="O165" s="75"/>
      <c r="P165" s="75"/>
      <c r="Q165" s="76" t="str">
        <f aca="false">IF(AND(M165="",N165="",O165="",P165=""),"COMPLETAR",IF(P165&lt;&gt;"",IF(O165="","Finalizado",IF(P165&lt;O165,"Finalizado anticipado",IF(P165=O165,"Finalizado","Finalizado con desfase"))),IF(N165&lt;&gt;"",IF(O165="","No planificado",IF(O165&lt;='Tablas y Glosario'!$F$1,"Atrasado",IF(M165="","En curso",IF(N165&gt;M165,"Inicio retrasado",IF(N165&lt;M165,"Inicio anticipado","En curso"))))),IF(M165="","COMPLETAR",IF('Tablas y Glosario'!$F$1&gt;=M165,"No iniciado","Programado")))))</f>
        <v>Programado</v>
      </c>
    </row>
    <row r="166" customFormat="false" ht="46.25" hidden="false" customHeight="false" outlineLevel="0" collapsed="false">
      <c r="A166" s="67"/>
      <c r="B166" s="68" t="s">
        <v>63</v>
      </c>
      <c r="C166" s="67" t="s">
        <v>156</v>
      </c>
      <c r="D166" s="68" t="s">
        <v>83</v>
      </c>
      <c r="E166" s="69" t="s">
        <v>283</v>
      </c>
      <c r="F166" s="69" t="s">
        <v>284</v>
      </c>
      <c r="G166" s="67" t="s">
        <v>124</v>
      </c>
      <c r="H166" s="70" t="s">
        <v>285</v>
      </c>
      <c r="I166" s="69" t="s">
        <v>286</v>
      </c>
      <c r="J166" s="69" t="s">
        <v>287</v>
      </c>
      <c r="K166" s="67" t="s">
        <v>70</v>
      </c>
      <c r="L166" s="67"/>
      <c r="M166" s="71" t="n">
        <v>46412</v>
      </c>
      <c r="N166" s="71"/>
      <c r="O166" s="71"/>
      <c r="P166" s="71"/>
      <c r="Q166" s="72" t="str">
        <f aca="false">IF(AND(M166="",N166="",O166="",P166=""),"COMPLETAR",IF(P166&lt;&gt;"",IF(O166="","Finalizado",IF(P166&lt;O166,"Finalizado anticipado",IF(P166=O166,"Finalizado","Finalizado con desfase"))),IF(N166&lt;&gt;"",IF(O166="","No planificado",IF(O166&lt;='Tablas y Glosario'!$F$1,"Atrasado",IF(M166="","En curso",IF(N166&gt;M166,"Inicio retrasado",IF(N166&lt;M166,"Inicio anticipado","En curso"))))),IF(M166="","COMPLETAR",IF('Tablas y Glosario'!$F$1&gt;=M166,"No iniciado","Programado")))))</f>
        <v>Programado</v>
      </c>
    </row>
    <row r="167" customFormat="false" ht="46.25" hidden="false" customHeight="false" outlineLevel="0" collapsed="false">
      <c r="A167" s="61"/>
      <c r="B167" s="60" t="s">
        <v>63</v>
      </c>
      <c r="C167" s="61" t="s">
        <v>156</v>
      </c>
      <c r="D167" s="60" t="s">
        <v>83</v>
      </c>
      <c r="E167" s="73" t="s">
        <v>283</v>
      </c>
      <c r="F167" s="73" t="s">
        <v>288</v>
      </c>
      <c r="G167" s="61" t="s">
        <v>125</v>
      </c>
      <c r="H167" s="74" t="s">
        <v>289</v>
      </c>
      <c r="I167" s="73" t="s">
        <v>290</v>
      </c>
      <c r="J167" s="73" t="s">
        <v>291</v>
      </c>
      <c r="K167" s="61" t="s">
        <v>70</v>
      </c>
      <c r="L167" s="61"/>
      <c r="M167" s="75" t="n">
        <v>46413</v>
      </c>
      <c r="N167" s="75"/>
      <c r="O167" s="75"/>
      <c r="P167" s="75"/>
      <c r="Q167" s="76" t="str">
        <f aca="false">IF(AND(M167="",N167="",O167="",P167=""),"COMPLETAR",IF(P167&lt;&gt;"",IF(O167="","Finalizado",IF(P167&lt;O167,"Finalizado anticipado",IF(P167=O167,"Finalizado","Finalizado con desfase"))),IF(N167&lt;&gt;"",IF(O167="","No planificado",IF(O167&lt;='Tablas y Glosario'!$F$1,"Atrasado",IF(M167="","En curso",IF(N167&gt;M167,"Inicio retrasado",IF(N167&lt;M167,"Inicio anticipado","En curso"))))),IF(M167="","COMPLETAR",IF('Tablas y Glosario'!$F$1&gt;=M167,"No iniciado","Programado")))))</f>
        <v>Programado</v>
      </c>
    </row>
    <row r="168" customFormat="false" ht="46.25" hidden="false" customHeight="false" outlineLevel="0" collapsed="false">
      <c r="A168" s="67"/>
      <c r="B168" s="68" t="s">
        <v>63</v>
      </c>
      <c r="C168" s="67" t="s">
        <v>156</v>
      </c>
      <c r="D168" s="68" t="s">
        <v>83</v>
      </c>
      <c r="E168" s="69" t="s">
        <v>283</v>
      </c>
      <c r="F168" s="69" t="s">
        <v>288</v>
      </c>
      <c r="G168" s="67" t="s">
        <v>126</v>
      </c>
      <c r="H168" s="70" t="s">
        <v>292</v>
      </c>
      <c r="I168" s="69" t="s">
        <v>293</v>
      </c>
      <c r="J168" s="69" t="s">
        <v>294</v>
      </c>
      <c r="K168" s="67" t="s">
        <v>70</v>
      </c>
      <c r="L168" s="67"/>
      <c r="M168" s="71" t="n">
        <v>46414</v>
      </c>
      <c r="N168" s="71"/>
      <c r="O168" s="71"/>
      <c r="P168" s="71"/>
      <c r="Q168" s="72" t="str">
        <f aca="false">IF(AND(M168="",N168="",O168="",P168=""),"COMPLETAR",IF(P168&lt;&gt;"",IF(O168="","Finalizado",IF(P168&lt;O168,"Finalizado anticipado",IF(P168=O168,"Finalizado","Finalizado con desfase"))),IF(N168&lt;&gt;"",IF(O168="","No planificado",IF(O168&lt;='Tablas y Glosario'!$F$1,"Atrasado",IF(M168="","En curso",IF(N168&gt;M168,"Inicio retrasado",IF(N168&lt;M168,"Inicio anticipado","En curso"))))),IF(M168="","COMPLETAR",IF('Tablas y Glosario'!$F$1&gt;=M168,"No iniciado","Programado")))))</f>
        <v>Programado</v>
      </c>
    </row>
    <row r="169" customFormat="false" ht="46.25" hidden="false" customHeight="false" outlineLevel="0" collapsed="false">
      <c r="A169" s="61"/>
      <c r="B169" s="60" t="s">
        <v>63</v>
      </c>
      <c r="C169" s="61" t="s">
        <v>156</v>
      </c>
      <c r="D169" s="60" t="s">
        <v>83</v>
      </c>
      <c r="E169" s="73" t="s">
        <v>283</v>
      </c>
      <c r="F169" s="73" t="s">
        <v>288</v>
      </c>
      <c r="G169" s="61" t="s">
        <v>127</v>
      </c>
      <c r="H169" s="74" t="s">
        <v>295</v>
      </c>
      <c r="I169" s="73" t="s">
        <v>296</v>
      </c>
      <c r="J169" s="73" t="s">
        <v>297</v>
      </c>
      <c r="K169" s="61" t="s">
        <v>70</v>
      </c>
      <c r="L169" s="61"/>
      <c r="M169" s="75" t="n">
        <v>46415</v>
      </c>
      <c r="N169" s="75"/>
      <c r="O169" s="75"/>
      <c r="P169" s="75"/>
      <c r="Q169" s="76" t="str">
        <f aca="false">IF(AND(M169="",N169="",O169="",P169=""),"COMPLETAR",IF(P169&lt;&gt;"",IF(O169="","Finalizado",IF(P169&lt;O169,"Finalizado anticipado",IF(P169=O169,"Finalizado","Finalizado con desfase"))),IF(N169&lt;&gt;"",IF(O169="","No planificado",IF(O169&lt;='Tablas y Glosario'!$F$1,"Atrasado",IF(M169="","En curso",IF(N169&gt;M169,"Inicio retrasado",IF(N169&lt;M169,"Inicio anticipado","En curso"))))),IF(M169="","COMPLETAR",IF('Tablas y Glosario'!$F$1&gt;=M169,"No iniciado","Programado")))))</f>
        <v>Programado</v>
      </c>
    </row>
    <row r="170" customFormat="false" ht="57.45" hidden="false" customHeight="false" outlineLevel="0" collapsed="false">
      <c r="A170" s="67"/>
      <c r="B170" s="68" t="s">
        <v>61</v>
      </c>
      <c r="C170" s="67" t="s">
        <v>156</v>
      </c>
      <c r="D170" s="68" t="s">
        <v>74</v>
      </c>
      <c r="E170" s="69" t="s">
        <v>157</v>
      </c>
      <c r="F170" s="69" t="s">
        <v>158</v>
      </c>
      <c r="G170" s="67" t="s">
        <v>87</v>
      </c>
      <c r="H170" s="70" t="s">
        <v>159</v>
      </c>
      <c r="I170" s="69" t="s">
        <v>160</v>
      </c>
      <c r="J170" s="69" t="s">
        <v>161</v>
      </c>
      <c r="K170" s="67" t="s">
        <v>70</v>
      </c>
      <c r="L170" s="67"/>
      <c r="M170" s="71" t="n">
        <v>46416</v>
      </c>
      <c r="N170" s="71"/>
      <c r="O170" s="71"/>
      <c r="P170" s="71"/>
      <c r="Q170" s="72" t="str">
        <f aca="false">IF(AND(M170="",N170="",O170="",P170=""),"COMPLETAR",IF(P170&lt;&gt;"",IF(O170="","Finalizado",IF(P170&lt;O170,"Finalizado anticipado",IF(P170=O170,"Finalizado","Finalizado con desfase"))),IF(N170&lt;&gt;"",IF(O170="","No planificado",IF(O170&lt;='Tablas y Glosario'!$F$1,"Atrasado",IF(M170="","En curso",IF(N170&gt;M170,"Inicio retrasado",IF(N170&lt;M170,"Inicio anticipado","En curso"))))),IF(M170="","COMPLETAR",IF('Tablas y Glosario'!$F$1&gt;=M170,"No iniciado","Programado")))))</f>
        <v>Programado</v>
      </c>
    </row>
    <row r="171" customFormat="false" ht="57.45" hidden="false" customHeight="false" outlineLevel="0" collapsed="false">
      <c r="A171" s="61"/>
      <c r="B171" s="60" t="s">
        <v>61</v>
      </c>
      <c r="C171" s="61" t="s">
        <v>156</v>
      </c>
      <c r="D171" s="60" t="s">
        <v>74</v>
      </c>
      <c r="E171" s="73" t="s">
        <v>157</v>
      </c>
      <c r="F171" s="73" t="s">
        <v>158</v>
      </c>
      <c r="G171" s="61" t="s">
        <v>88</v>
      </c>
      <c r="H171" s="74" t="s">
        <v>162</v>
      </c>
      <c r="I171" s="73" t="s">
        <v>163</v>
      </c>
      <c r="J171" s="73" t="s">
        <v>164</v>
      </c>
      <c r="K171" s="61" t="s">
        <v>70</v>
      </c>
      <c r="L171" s="61"/>
      <c r="M171" s="75" t="n">
        <v>46417</v>
      </c>
      <c r="N171" s="75"/>
      <c r="O171" s="75"/>
      <c r="P171" s="75"/>
      <c r="Q171" s="76" t="str">
        <f aca="false">IF(AND(M171="",N171="",O171="",P171=""),"COMPLETAR",IF(P171&lt;&gt;"",IF(O171="","Finalizado",IF(P171&lt;O171,"Finalizado anticipado",IF(P171=O171,"Finalizado","Finalizado con desfase"))),IF(N171&lt;&gt;"",IF(O171="","No planificado",IF(O171&lt;='Tablas y Glosario'!$F$1,"Atrasado",IF(M171="","En curso",IF(N171&gt;M171,"Inicio retrasado",IF(N171&lt;M171,"Inicio anticipado","En curso"))))),IF(M171="","COMPLETAR",IF('Tablas y Glosario'!$F$1&gt;=M171,"No iniciado","Programado")))))</f>
        <v>Programado</v>
      </c>
    </row>
    <row r="172" customFormat="false" ht="57.45" hidden="false" customHeight="false" outlineLevel="0" collapsed="false">
      <c r="A172" s="67"/>
      <c r="B172" s="68" t="s">
        <v>61</v>
      </c>
      <c r="C172" s="67" t="s">
        <v>156</v>
      </c>
      <c r="D172" s="68" t="s">
        <v>74</v>
      </c>
      <c r="E172" s="69" t="s">
        <v>157</v>
      </c>
      <c r="F172" s="69" t="s">
        <v>158</v>
      </c>
      <c r="G172" s="67" t="s">
        <v>89</v>
      </c>
      <c r="H172" s="70" t="s">
        <v>165</v>
      </c>
      <c r="I172" s="69" t="s">
        <v>166</v>
      </c>
      <c r="J172" s="69" t="s">
        <v>167</v>
      </c>
      <c r="K172" s="67" t="s">
        <v>70</v>
      </c>
      <c r="L172" s="67"/>
      <c r="M172" s="71" t="n">
        <v>46418</v>
      </c>
      <c r="N172" s="71"/>
      <c r="O172" s="71"/>
      <c r="P172" s="71"/>
      <c r="Q172" s="72" t="str">
        <f aca="false">IF(AND(M172="",N172="",O172="",P172=""),"COMPLETAR",IF(P172&lt;&gt;"",IF(O172="","Finalizado",IF(P172&lt;O172,"Finalizado anticipado",IF(P172=O172,"Finalizado","Finalizado con desfase"))),IF(N172&lt;&gt;"",IF(O172="","No planificado",IF(O172&lt;='Tablas y Glosario'!$F$1,"Atrasado",IF(M172="","En curso",IF(N172&gt;M172,"Inicio retrasado",IF(N172&lt;M172,"Inicio anticipado","En curso"))))),IF(M172="","COMPLETAR",IF('Tablas y Glosario'!$F$1&gt;=M172,"No iniciado","Programado")))))</f>
        <v>Programado</v>
      </c>
    </row>
    <row r="173" customFormat="false" ht="57.45" hidden="false" customHeight="false" outlineLevel="0" collapsed="false">
      <c r="A173" s="61"/>
      <c r="B173" s="60" t="s">
        <v>61</v>
      </c>
      <c r="C173" s="61" t="s">
        <v>156</v>
      </c>
      <c r="D173" s="60" t="s">
        <v>74</v>
      </c>
      <c r="E173" s="73" t="s">
        <v>157</v>
      </c>
      <c r="F173" s="73" t="s">
        <v>158</v>
      </c>
      <c r="G173" s="61" t="s">
        <v>90</v>
      </c>
      <c r="H173" s="74" t="s">
        <v>168</v>
      </c>
      <c r="I173" s="73" t="s">
        <v>169</v>
      </c>
      <c r="J173" s="73" t="s">
        <v>170</v>
      </c>
      <c r="K173" s="61" t="s">
        <v>70</v>
      </c>
      <c r="L173" s="61"/>
      <c r="M173" s="75" t="n">
        <v>46419</v>
      </c>
      <c r="N173" s="75"/>
      <c r="O173" s="75"/>
      <c r="P173" s="75"/>
      <c r="Q173" s="76" t="str">
        <f aca="false">IF(AND(M173="",N173="",O173="",P173=""),"COMPLETAR",IF(P173&lt;&gt;"",IF(O173="","Finalizado",IF(P173&lt;O173,"Finalizado anticipado",IF(P173=O173,"Finalizado","Finalizado con desfase"))),IF(N173&lt;&gt;"",IF(O173="","No planificado",IF(O173&lt;='Tablas y Glosario'!$F$1,"Atrasado",IF(M173="","En curso",IF(N173&gt;M173,"Inicio retrasado",IF(N173&lt;M173,"Inicio anticipado","En curso"))))),IF(M173="","COMPLETAR",IF('Tablas y Glosario'!$F$1&gt;=M173,"No iniciado","Programado")))))</f>
        <v>Programado</v>
      </c>
    </row>
    <row r="174" customFormat="false" ht="46.25" hidden="false" customHeight="false" outlineLevel="0" collapsed="false">
      <c r="A174" s="67"/>
      <c r="B174" s="68" t="s">
        <v>61</v>
      </c>
      <c r="C174" s="67" t="s">
        <v>156</v>
      </c>
      <c r="D174" s="68" t="s">
        <v>75</v>
      </c>
      <c r="E174" s="69" t="s">
        <v>171</v>
      </c>
      <c r="F174" s="69" t="s">
        <v>172</v>
      </c>
      <c r="G174" s="67" t="s">
        <v>91</v>
      </c>
      <c r="H174" s="70" t="s">
        <v>173</v>
      </c>
      <c r="I174" s="69" t="s">
        <v>174</v>
      </c>
      <c r="J174" s="69" t="s">
        <v>175</v>
      </c>
      <c r="K174" s="67" t="s">
        <v>70</v>
      </c>
      <c r="L174" s="67"/>
      <c r="M174" s="71" t="n">
        <v>46420</v>
      </c>
      <c r="N174" s="71"/>
      <c r="O174" s="71"/>
      <c r="P174" s="71"/>
      <c r="Q174" s="72" t="str">
        <f aca="false">IF(AND(M174="",N174="",O174="",P174=""),"COMPLETAR",IF(P174&lt;&gt;"",IF(O174="","Finalizado",IF(P174&lt;O174,"Finalizado anticipado",IF(P174=O174,"Finalizado","Finalizado con desfase"))),IF(N174&lt;&gt;"",IF(O174="","No planificado",IF(O174&lt;='Tablas y Glosario'!$F$1,"Atrasado",IF(M174="","En curso",IF(N174&gt;M174,"Inicio retrasado",IF(N174&lt;M174,"Inicio anticipado","En curso"))))),IF(M174="","COMPLETAR",IF('Tablas y Glosario'!$F$1&gt;=M174,"No iniciado","Programado")))))</f>
        <v>Programado</v>
      </c>
    </row>
    <row r="175" customFormat="false" ht="46.25" hidden="false" customHeight="false" outlineLevel="0" collapsed="false">
      <c r="A175" s="61"/>
      <c r="B175" s="60" t="s">
        <v>61</v>
      </c>
      <c r="C175" s="61" t="s">
        <v>156</v>
      </c>
      <c r="D175" s="60" t="s">
        <v>75</v>
      </c>
      <c r="E175" s="73" t="s">
        <v>171</v>
      </c>
      <c r="F175" s="73" t="s">
        <v>176</v>
      </c>
      <c r="G175" s="61" t="s">
        <v>92</v>
      </c>
      <c r="H175" s="74" t="s">
        <v>177</v>
      </c>
      <c r="I175" s="73" t="s">
        <v>178</v>
      </c>
      <c r="J175" s="73" t="s">
        <v>175</v>
      </c>
      <c r="K175" s="61" t="s">
        <v>70</v>
      </c>
      <c r="L175" s="61"/>
      <c r="M175" s="75" t="n">
        <v>46421</v>
      </c>
      <c r="N175" s="75"/>
      <c r="O175" s="75"/>
      <c r="P175" s="75"/>
      <c r="Q175" s="76" t="str">
        <f aca="false">IF(AND(M175="",N175="",O175="",P175=""),"COMPLETAR",IF(P175&lt;&gt;"",IF(O175="","Finalizado",IF(P175&lt;O175,"Finalizado anticipado",IF(P175=O175,"Finalizado","Finalizado con desfase"))),IF(N175&lt;&gt;"",IF(O175="","No planificado",IF(O175&lt;='Tablas y Glosario'!$F$1,"Atrasado",IF(M175="","En curso",IF(N175&gt;M175,"Inicio retrasado",IF(N175&lt;M175,"Inicio anticipado","En curso"))))),IF(M175="","COMPLETAR",IF('Tablas y Glosario'!$F$1&gt;=M175,"No iniciado","Programado")))))</f>
        <v>Programado</v>
      </c>
    </row>
    <row r="176" customFormat="false" ht="46.25" hidden="false" customHeight="false" outlineLevel="0" collapsed="false">
      <c r="A176" s="67"/>
      <c r="B176" s="68" t="s">
        <v>61</v>
      </c>
      <c r="C176" s="67" t="s">
        <v>156</v>
      </c>
      <c r="D176" s="68" t="s">
        <v>75</v>
      </c>
      <c r="E176" s="69" t="s">
        <v>171</v>
      </c>
      <c r="F176" s="69" t="s">
        <v>176</v>
      </c>
      <c r="G176" s="67" t="s">
        <v>93</v>
      </c>
      <c r="H176" s="70" t="s">
        <v>179</v>
      </c>
      <c r="I176" s="69" t="s">
        <v>180</v>
      </c>
      <c r="J176" s="69" t="s">
        <v>181</v>
      </c>
      <c r="K176" s="67" t="s">
        <v>70</v>
      </c>
      <c r="L176" s="67"/>
      <c r="M176" s="71" t="n">
        <v>46422</v>
      </c>
      <c r="N176" s="71"/>
      <c r="O176" s="71"/>
      <c r="P176" s="71"/>
      <c r="Q176" s="72" t="str">
        <f aca="false">IF(AND(M176="",N176="",O176="",P176=""),"COMPLETAR",IF(P176&lt;&gt;"",IF(O176="","Finalizado",IF(P176&lt;O176,"Finalizado anticipado",IF(P176=O176,"Finalizado","Finalizado con desfase"))),IF(N176&lt;&gt;"",IF(O176="","No planificado",IF(O176&lt;='Tablas y Glosario'!$F$1,"Atrasado",IF(M176="","En curso",IF(N176&gt;M176,"Inicio retrasado",IF(N176&lt;M176,"Inicio anticipado","En curso"))))),IF(M176="","COMPLETAR",IF('Tablas y Glosario'!$F$1&gt;=M176,"No iniciado","Programado")))))</f>
        <v>Programado</v>
      </c>
    </row>
    <row r="177" customFormat="false" ht="46.25" hidden="false" customHeight="false" outlineLevel="0" collapsed="false">
      <c r="A177" s="61"/>
      <c r="B177" s="60" t="s">
        <v>61</v>
      </c>
      <c r="C177" s="61" t="s">
        <v>156</v>
      </c>
      <c r="D177" s="60" t="s">
        <v>75</v>
      </c>
      <c r="E177" s="73" t="s">
        <v>171</v>
      </c>
      <c r="F177" s="73" t="s">
        <v>176</v>
      </c>
      <c r="G177" s="61" t="s">
        <v>94</v>
      </c>
      <c r="H177" s="74" t="s">
        <v>182</v>
      </c>
      <c r="I177" s="73" t="s">
        <v>183</v>
      </c>
      <c r="J177" s="73" t="s">
        <v>184</v>
      </c>
      <c r="K177" s="61" t="s">
        <v>70</v>
      </c>
      <c r="L177" s="61"/>
      <c r="M177" s="75" t="n">
        <v>46423</v>
      </c>
      <c r="N177" s="75"/>
      <c r="O177" s="75"/>
      <c r="P177" s="75"/>
      <c r="Q177" s="76" t="str">
        <f aca="false">IF(AND(M177="",N177="",O177="",P177=""),"COMPLETAR",IF(P177&lt;&gt;"",IF(O177="","Finalizado",IF(P177&lt;O177,"Finalizado anticipado",IF(P177=O177,"Finalizado","Finalizado con desfase"))),IF(N177&lt;&gt;"",IF(O177="","No planificado",IF(O177&lt;='Tablas y Glosario'!$F$1,"Atrasado",IF(M177="","En curso",IF(N177&gt;M177,"Inicio retrasado",IF(N177&lt;M177,"Inicio anticipado","En curso"))))),IF(M177="","COMPLETAR",IF('Tablas y Glosario'!$F$1&gt;=M177,"No iniciado","Programado")))))</f>
        <v>Programado</v>
      </c>
    </row>
    <row r="178" customFormat="false" ht="46.25" hidden="false" customHeight="false" outlineLevel="0" collapsed="false">
      <c r="A178" s="67"/>
      <c r="B178" s="68" t="s">
        <v>61</v>
      </c>
      <c r="C178" s="67" t="s">
        <v>156</v>
      </c>
      <c r="D178" s="68" t="s">
        <v>75</v>
      </c>
      <c r="E178" s="69" t="s">
        <v>171</v>
      </c>
      <c r="F178" s="69" t="s">
        <v>176</v>
      </c>
      <c r="G178" s="67" t="s">
        <v>95</v>
      </c>
      <c r="H178" s="70" t="s">
        <v>185</v>
      </c>
      <c r="I178" s="69" t="s">
        <v>186</v>
      </c>
      <c r="J178" s="69" t="s">
        <v>187</v>
      </c>
      <c r="K178" s="67" t="s">
        <v>70</v>
      </c>
      <c r="L178" s="67"/>
      <c r="M178" s="71" t="n">
        <v>46424</v>
      </c>
      <c r="N178" s="71"/>
      <c r="O178" s="71"/>
      <c r="P178" s="71"/>
      <c r="Q178" s="72" t="str">
        <f aca="false">IF(AND(M178="",N178="",O178="",P178=""),"COMPLETAR",IF(P178&lt;&gt;"",IF(O178="","Finalizado",IF(P178&lt;O178,"Finalizado anticipado",IF(P178=O178,"Finalizado","Finalizado con desfase"))),IF(N178&lt;&gt;"",IF(O178="","No planificado",IF(O178&lt;='Tablas y Glosario'!$F$1,"Atrasado",IF(M178="","En curso",IF(N178&gt;M178,"Inicio retrasado",IF(N178&lt;M178,"Inicio anticipado","En curso"))))),IF(M178="","COMPLETAR",IF('Tablas y Glosario'!$F$1&gt;=M178,"No iniciado","Programado")))))</f>
        <v>Programado</v>
      </c>
    </row>
    <row r="179" customFormat="false" ht="35.05" hidden="false" customHeight="false" outlineLevel="0" collapsed="false">
      <c r="A179" s="61"/>
      <c r="B179" s="60" t="s">
        <v>61</v>
      </c>
      <c r="C179" s="61" t="s">
        <v>156</v>
      </c>
      <c r="D179" s="60" t="s">
        <v>76</v>
      </c>
      <c r="E179" s="73" t="s">
        <v>188</v>
      </c>
      <c r="F179" s="73" t="s">
        <v>189</v>
      </c>
      <c r="G179" s="61" t="s">
        <v>96</v>
      </c>
      <c r="H179" s="74" t="s">
        <v>190</v>
      </c>
      <c r="I179" s="73" t="s">
        <v>191</v>
      </c>
      <c r="J179" s="73" t="s">
        <v>192</v>
      </c>
      <c r="K179" s="61" t="s">
        <v>71</v>
      </c>
      <c r="L179" s="61"/>
      <c r="M179" s="75" t="n">
        <v>46425</v>
      </c>
      <c r="N179" s="75"/>
      <c r="O179" s="75"/>
      <c r="P179" s="75"/>
      <c r="Q179" s="76" t="str">
        <f aca="false">IF(AND(M179="",N179="",O179="",P179=""),"COMPLETAR",IF(P179&lt;&gt;"",IF(O179="","Finalizado",IF(P179&lt;O179,"Finalizado anticipado",IF(P179=O179,"Finalizado","Finalizado con desfase"))),IF(N179&lt;&gt;"",IF(O179="","No planificado",IF(O179&lt;='Tablas y Glosario'!$F$1,"Atrasado",IF(M179="","En curso",IF(N179&gt;M179,"Inicio retrasado",IF(N179&lt;M179,"Inicio anticipado","En curso"))))),IF(M179="","COMPLETAR",IF('Tablas y Glosario'!$F$1&gt;=M179,"No iniciado","Programado")))))</f>
        <v>Programado</v>
      </c>
    </row>
    <row r="180" customFormat="false" ht="35.05" hidden="false" customHeight="false" outlineLevel="0" collapsed="false">
      <c r="A180" s="67"/>
      <c r="B180" s="68" t="s">
        <v>61</v>
      </c>
      <c r="C180" s="67" t="s">
        <v>156</v>
      </c>
      <c r="D180" s="68" t="s">
        <v>76</v>
      </c>
      <c r="E180" s="69" t="s">
        <v>188</v>
      </c>
      <c r="F180" s="69" t="s">
        <v>189</v>
      </c>
      <c r="G180" s="67" t="s">
        <v>97</v>
      </c>
      <c r="H180" s="70" t="s">
        <v>193</v>
      </c>
      <c r="I180" s="69" t="s">
        <v>110</v>
      </c>
      <c r="J180" s="69" t="s">
        <v>192</v>
      </c>
      <c r="K180" s="67" t="s">
        <v>70</v>
      </c>
      <c r="L180" s="67"/>
      <c r="M180" s="71" t="n">
        <v>46426</v>
      </c>
      <c r="N180" s="71"/>
      <c r="O180" s="71"/>
      <c r="P180" s="71"/>
      <c r="Q180" s="72" t="str">
        <f aca="false">IF(AND(M180="",N180="",O180="",P180=""),"COMPLETAR",IF(P180&lt;&gt;"",IF(O180="","Finalizado",IF(P180&lt;O180,"Finalizado anticipado",IF(P180=O180,"Finalizado","Finalizado con desfase"))),IF(N180&lt;&gt;"",IF(O180="","No planificado",IF(O180&lt;='Tablas y Glosario'!$F$1,"Atrasado",IF(M180="","En curso",IF(N180&gt;M180,"Inicio retrasado",IF(N180&lt;M180,"Inicio anticipado","En curso"))))),IF(M180="","COMPLETAR",IF('Tablas y Glosario'!$F$1&gt;=M180,"No iniciado","Programado")))))</f>
        <v>Programado</v>
      </c>
    </row>
    <row r="181" customFormat="false" ht="35.05" hidden="false" customHeight="false" outlineLevel="0" collapsed="false">
      <c r="A181" s="61"/>
      <c r="B181" s="60" t="s">
        <v>61</v>
      </c>
      <c r="C181" s="61" t="s">
        <v>156</v>
      </c>
      <c r="D181" s="60" t="s">
        <v>76</v>
      </c>
      <c r="E181" s="73" t="s">
        <v>188</v>
      </c>
      <c r="F181" s="73" t="s">
        <v>189</v>
      </c>
      <c r="G181" s="61" t="s">
        <v>98</v>
      </c>
      <c r="H181" s="74" t="s">
        <v>194</v>
      </c>
      <c r="I181" s="73" t="s">
        <v>195</v>
      </c>
      <c r="J181" s="73" t="s">
        <v>196</v>
      </c>
      <c r="K181" s="61" t="s">
        <v>71</v>
      </c>
      <c r="L181" s="61"/>
      <c r="M181" s="75" t="n">
        <v>46427</v>
      </c>
      <c r="N181" s="75"/>
      <c r="O181" s="75"/>
      <c r="P181" s="75"/>
      <c r="Q181" s="76" t="str">
        <f aca="false">IF(AND(M181="",N181="",O181="",P181=""),"COMPLETAR",IF(P181&lt;&gt;"",IF(O181="","Finalizado",IF(P181&lt;O181,"Finalizado anticipado",IF(P181=O181,"Finalizado","Finalizado con desfase"))),IF(N181&lt;&gt;"",IF(O181="","No planificado",IF(O181&lt;='Tablas y Glosario'!$F$1,"Atrasado",IF(M181="","En curso",IF(N181&gt;M181,"Inicio retrasado",IF(N181&lt;M181,"Inicio anticipado","En curso"))))),IF(M181="","COMPLETAR",IF('Tablas y Glosario'!$F$1&gt;=M181,"No iniciado","Programado")))))</f>
        <v>Programado</v>
      </c>
    </row>
    <row r="182" customFormat="false" ht="35.05" hidden="false" customHeight="false" outlineLevel="0" collapsed="false">
      <c r="A182" s="67"/>
      <c r="B182" s="68" t="s">
        <v>61</v>
      </c>
      <c r="C182" s="67" t="s">
        <v>156</v>
      </c>
      <c r="D182" s="68" t="s">
        <v>76</v>
      </c>
      <c r="E182" s="69" t="s">
        <v>188</v>
      </c>
      <c r="F182" s="69" t="s">
        <v>189</v>
      </c>
      <c r="G182" s="67" t="s">
        <v>99</v>
      </c>
      <c r="H182" s="70" t="s">
        <v>197</v>
      </c>
      <c r="I182" s="69" t="s">
        <v>110</v>
      </c>
      <c r="J182" s="69" t="s">
        <v>196</v>
      </c>
      <c r="K182" s="67" t="s">
        <v>70</v>
      </c>
      <c r="L182" s="67"/>
      <c r="M182" s="71" t="n">
        <v>46428</v>
      </c>
      <c r="N182" s="71"/>
      <c r="O182" s="71"/>
      <c r="P182" s="71"/>
      <c r="Q182" s="72" t="str">
        <f aca="false">IF(AND(M182="",N182="",O182="",P182=""),"COMPLETAR",IF(P182&lt;&gt;"",IF(O182="","Finalizado",IF(P182&lt;O182,"Finalizado anticipado",IF(P182=O182,"Finalizado","Finalizado con desfase"))),IF(N182&lt;&gt;"",IF(O182="","No planificado",IF(O182&lt;='Tablas y Glosario'!$F$1,"Atrasado",IF(M182="","En curso",IF(N182&gt;M182,"Inicio retrasado",IF(N182&lt;M182,"Inicio anticipado","En curso"))))),IF(M182="","COMPLETAR",IF('Tablas y Glosario'!$F$1&gt;=M182,"No iniciado","Programado")))))</f>
        <v>Programado</v>
      </c>
    </row>
    <row r="183" customFormat="false" ht="35.05" hidden="false" customHeight="false" outlineLevel="0" collapsed="false">
      <c r="A183" s="61"/>
      <c r="B183" s="60" t="s">
        <v>61</v>
      </c>
      <c r="C183" s="61" t="s">
        <v>156</v>
      </c>
      <c r="D183" s="60" t="s">
        <v>77</v>
      </c>
      <c r="E183" s="73" t="s">
        <v>198</v>
      </c>
      <c r="F183" s="73" t="s">
        <v>199</v>
      </c>
      <c r="G183" s="61" t="s">
        <v>100</v>
      </c>
      <c r="H183" s="74" t="s">
        <v>200</v>
      </c>
      <c r="I183" s="73" t="s">
        <v>201</v>
      </c>
      <c r="J183" s="73" t="s">
        <v>202</v>
      </c>
      <c r="K183" s="61" t="s">
        <v>70</v>
      </c>
      <c r="L183" s="61"/>
      <c r="M183" s="75" t="n">
        <v>46429</v>
      </c>
      <c r="N183" s="75"/>
      <c r="O183" s="75"/>
      <c r="P183" s="75"/>
      <c r="Q183" s="76" t="str">
        <f aca="false">IF(AND(M183="",N183="",O183="",P183=""),"COMPLETAR",IF(P183&lt;&gt;"",IF(O183="","Finalizado",IF(P183&lt;O183,"Finalizado anticipado",IF(P183=O183,"Finalizado","Finalizado con desfase"))),IF(N183&lt;&gt;"",IF(O183="","No planificado",IF(O183&lt;='Tablas y Glosario'!$F$1,"Atrasado",IF(M183="","En curso",IF(N183&gt;M183,"Inicio retrasado",IF(N183&lt;M183,"Inicio anticipado","En curso"))))),IF(M183="","COMPLETAR",IF('Tablas y Glosario'!$F$1&gt;=M183,"No iniciado","Programado")))))</f>
        <v>Programado</v>
      </c>
    </row>
    <row r="184" customFormat="false" ht="23.85" hidden="false" customHeight="false" outlineLevel="0" collapsed="false">
      <c r="A184" s="67"/>
      <c r="B184" s="68" t="s">
        <v>61</v>
      </c>
      <c r="C184" s="67" t="s">
        <v>156</v>
      </c>
      <c r="D184" s="68" t="s">
        <v>78</v>
      </c>
      <c r="E184" s="69" t="s">
        <v>203</v>
      </c>
      <c r="F184" s="69" t="s">
        <v>204</v>
      </c>
      <c r="G184" s="67" t="s">
        <v>101</v>
      </c>
      <c r="H184" s="70" t="s">
        <v>205</v>
      </c>
      <c r="I184" s="69" t="s">
        <v>206</v>
      </c>
      <c r="J184" s="69" t="s">
        <v>207</v>
      </c>
      <c r="K184" s="67" t="s">
        <v>71</v>
      </c>
      <c r="L184" s="67"/>
      <c r="M184" s="71" t="n">
        <v>46430</v>
      </c>
      <c r="N184" s="71"/>
      <c r="O184" s="71"/>
      <c r="P184" s="71"/>
      <c r="Q184" s="72" t="str">
        <f aca="false">IF(AND(M184="",N184="",O184="",P184=""),"COMPLETAR",IF(P184&lt;&gt;"",IF(O184="","Finalizado",IF(P184&lt;O184,"Finalizado anticipado",IF(P184=O184,"Finalizado","Finalizado con desfase"))),IF(N184&lt;&gt;"",IF(O184="","No planificado",IF(O184&lt;='Tablas y Glosario'!$F$1,"Atrasado",IF(M184="","En curso",IF(N184&gt;M184,"Inicio retrasado",IF(N184&lt;M184,"Inicio anticipado","En curso"))))),IF(M184="","COMPLETAR",IF('Tablas y Glosario'!$F$1&gt;=M184,"No iniciado","Programado")))))</f>
        <v>Programado</v>
      </c>
    </row>
    <row r="185" customFormat="false" ht="23.85" hidden="false" customHeight="false" outlineLevel="0" collapsed="false">
      <c r="A185" s="61"/>
      <c r="B185" s="60" t="s">
        <v>61</v>
      </c>
      <c r="C185" s="61" t="s">
        <v>156</v>
      </c>
      <c r="D185" s="60" t="s">
        <v>78</v>
      </c>
      <c r="E185" s="73" t="s">
        <v>203</v>
      </c>
      <c r="F185" s="73" t="s">
        <v>204</v>
      </c>
      <c r="G185" s="61" t="s">
        <v>102</v>
      </c>
      <c r="H185" s="74" t="s">
        <v>208</v>
      </c>
      <c r="I185" s="73" t="s">
        <v>209</v>
      </c>
      <c r="J185" s="73" t="s">
        <v>210</v>
      </c>
      <c r="K185" s="61" t="s">
        <v>71</v>
      </c>
      <c r="L185" s="61"/>
      <c r="M185" s="75" t="n">
        <v>46431</v>
      </c>
      <c r="N185" s="75"/>
      <c r="O185" s="75"/>
      <c r="P185" s="75"/>
      <c r="Q185" s="76" t="str">
        <f aca="false">IF(AND(M185="",N185="",O185="",P185=""),"COMPLETAR",IF(P185&lt;&gt;"",IF(O185="","Finalizado",IF(P185&lt;O185,"Finalizado anticipado",IF(P185=O185,"Finalizado","Finalizado con desfase"))),IF(N185&lt;&gt;"",IF(O185="","No planificado",IF(O185&lt;='Tablas y Glosario'!$F$1,"Atrasado",IF(M185="","En curso",IF(N185&gt;M185,"Inicio retrasado",IF(N185&lt;M185,"Inicio anticipado","En curso"))))),IF(M185="","COMPLETAR",IF('Tablas y Glosario'!$F$1&gt;=M185,"No iniciado","Programado")))))</f>
        <v>Programado</v>
      </c>
    </row>
    <row r="186" customFormat="false" ht="23.85" hidden="false" customHeight="false" outlineLevel="0" collapsed="false">
      <c r="A186" s="67"/>
      <c r="B186" s="68" t="s">
        <v>61</v>
      </c>
      <c r="C186" s="67" t="s">
        <v>156</v>
      </c>
      <c r="D186" s="68" t="s">
        <v>78</v>
      </c>
      <c r="E186" s="69" t="s">
        <v>203</v>
      </c>
      <c r="F186" s="69" t="s">
        <v>204</v>
      </c>
      <c r="G186" s="67" t="s">
        <v>103</v>
      </c>
      <c r="H186" s="70" t="s">
        <v>211</v>
      </c>
      <c r="I186" s="69" t="s">
        <v>212</v>
      </c>
      <c r="J186" s="69" t="s">
        <v>213</v>
      </c>
      <c r="K186" s="67" t="s">
        <v>71</v>
      </c>
      <c r="L186" s="67"/>
      <c r="M186" s="71" t="n">
        <v>46432</v>
      </c>
      <c r="N186" s="71"/>
      <c r="O186" s="71"/>
      <c r="P186" s="71"/>
      <c r="Q186" s="72" t="str">
        <f aca="false">IF(AND(M186="",N186="",O186="",P186=""),"COMPLETAR",IF(P186&lt;&gt;"",IF(O186="","Finalizado",IF(P186&lt;O186,"Finalizado anticipado",IF(P186=O186,"Finalizado","Finalizado con desfase"))),IF(N186&lt;&gt;"",IF(O186="","No planificado",IF(O186&lt;='Tablas y Glosario'!$F$1,"Atrasado",IF(M186="","En curso",IF(N186&gt;M186,"Inicio retrasado",IF(N186&lt;M186,"Inicio anticipado","En curso"))))),IF(M186="","COMPLETAR",IF('Tablas y Glosario'!$F$1&gt;=M186,"No iniciado","Programado")))))</f>
        <v>Programado</v>
      </c>
    </row>
    <row r="187" customFormat="false" ht="23.85" hidden="false" customHeight="false" outlineLevel="0" collapsed="false">
      <c r="A187" s="61"/>
      <c r="B187" s="60" t="s">
        <v>61</v>
      </c>
      <c r="C187" s="61" t="s">
        <v>156</v>
      </c>
      <c r="D187" s="60" t="s">
        <v>78</v>
      </c>
      <c r="E187" s="73" t="s">
        <v>203</v>
      </c>
      <c r="F187" s="73" t="s">
        <v>204</v>
      </c>
      <c r="G187" s="61" t="s">
        <v>104</v>
      </c>
      <c r="H187" s="74" t="s">
        <v>214</v>
      </c>
      <c r="I187" s="73" t="s">
        <v>215</v>
      </c>
      <c r="J187" s="73" t="s">
        <v>216</v>
      </c>
      <c r="K187" s="61" t="s">
        <v>71</v>
      </c>
      <c r="L187" s="61"/>
      <c r="M187" s="75" t="n">
        <v>46433</v>
      </c>
      <c r="N187" s="75"/>
      <c r="O187" s="75"/>
      <c r="P187" s="75"/>
      <c r="Q187" s="76" t="str">
        <f aca="false">IF(AND(M187="",N187="",O187="",P187=""),"COMPLETAR",IF(P187&lt;&gt;"",IF(O187="","Finalizado",IF(P187&lt;O187,"Finalizado anticipado",IF(P187=O187,"Finalizado","Finalizado con desfase"))),IF(N187&lt;&gt;"",IF(O187="","No planificado",IF(O187&lt;='Tablas y Glosario'!$F$1,"Atrasado",IF(M187="","En curso",IF(N187&gt;M187,"Inicio retrasado",IF(N187&lt;M187,"Inicio anticipado","En curso"))))),IF(M187="","COMPLETAR",IF('Tablas y Glosario'!$F$1&gt;=M187,"No iniciado","Programado")))))</f>
        <v>Programado</v>
      </c>
    </row>
    <row r="188" customFormat="false" ht="35.05" hidden="false" customHeight="false" outlineLevel="0" collapsed="false">
      <c r="A188" s="67"/>
      <c r="B188" s="68" t="s">
        <v>61</v>
      </c>
      <c r="C188" s="67" t="s">
        <v>156</v>
      </c>
      <c r="D188" s="68" t="s">
        <v>79</v>
      </c>
      <c r="E188" s="69" t="s">
        <v>217</v>
      </c>
      <c r="F188" s="69" t="s">
        <v>218</v>
      </c>
      <c r="G188" s="67" t="s">
        <v>105</v>
      </c>
      <c r="H188" s="70" t="s">
        <v>219</v>
      </c>
      <c r="I188" s="69" t="s">
        <v>220</v>
      </c>
      <c r="J188" s="69" t="s">
        <v>221</v>
      </c>
      <c r="K188" s="67" t="s">
        <v>70</v>
      </c>
      <c r="L188" s="67"/>
      <c r="M188" s="71" t="n">
        <v>46434</v>
      </c>
      <c r="N188" s="71"/>
      <c r="O188" s="71"/>
      <c r="P188" s="71"/>
      <c r="Q188" s="72" t="str">
        <f aca="false">IF(AND(M188="",N188="",O188="",P188=""),"COMPLETAR",IF(P188&lt;&gt;"",IF(O188="","Finalizado",IF(P188&lt;O188,"Finalizado anticipado",IF(P188=O188,"Finalizado","Finalizado con desfase"))),IF(N188&lt;&gt;"",IF(O188="","No planificado",IF(O188&lt;='Tablas y Glosario'!$F$1,"Atrasado",IF(M188="","En curso",IF(N188&gt;M188,"Inicio retrasado",IF(N188&lt;M188,"Inicio anticipado","En curso"))))),IF(M188="","COMPLETAR",IF('Tablas y Glosario'!$F$1&gt;=M188,"No iniciado","Programado")))))</f>
        <v>Programado</v>
      </c>
    </row>
    <row r="189" customFormat="false" ht="35.05" hidden="false" customHeight="false" outlineLevel="0" collapsed="false">
      <c r="A189" s="61"/>
      <c r="B189" s="60" t="s">
        <v>61</v>
      </c>
      <c r="C189" s="61" t="s">
        <v>156</v>
      </c>
      <c r="D189" s="60" t="s">
        <v>79</v>
      </c>
      <c r="E189" s="73" t="s">
        <v>217</v>
      </c>
      <c r="F189" s="73" t="s">
        <v>218</v>
      </c>
      <c r="G189" s="61" t="s">
        <v>106</v>
      </c>
      <c r="H189" s="74" t="s">
        <v>222</v>
      </c>
      <c r="I189" s="73" t="s">
        <v>223</v>
      </c>
      <c r="J189" s="73" t="s">
        <v>224</v>
      </c>
      <c r="K189" s="61" t="s">
        <v>70</v>
      </c>
      <c r="L189" s="61"/>
      <c r="M189" s="75" t="n">
        <v>46435</v>
      </c>
      <c r="N189" s="75"/>
      <c r="O189" s="75"/>
      <c r="P189" s="75"/>
      <c r="Q189" s="76" t="str">
        <f aca="false">IF(AND(M189="",N189="",O189="",P189=""),"COMPLETAR",IF(P189&lt;&gt;"",IF(O189="","Finalizado",IF(P189&lt;O189,"Finalizado anticipado",IF(P189=O189,"Finalizado","Finalizado con desfase"))),IF(N189&lt;&gt;"",IF(O189="","No planificado",IF(O189&lt;='Tablas y Glosario'!$F$1,"Atrasado",IF(M189="","En curso",IF(N189&gt;M189,"Inicio retrasado",IF(N189&lt;M189,"Inicio anticipado","En curso"))))),IF(M189="","COMPLETAR",IF('Tablas y Glosario'!$F$1&gt;=M189,"No iniciado","Programado")))))</f>
        <v>Programado</v>
      </c>
    </row>
    <row r="190" customFormat="false" ht="35.05" hidden="false" customHeight="false" outlineLevel="0" collapsed="false">
      <c r="A190" s="67"/>
      <c r="B190" s="68" t="s">
        <v>61</v>
      </c>
      <c r="C190" s="67" t="s">
        <v>156</v>
      </c>
      <c r="D190" s="68" t="s">
        <v>79</v>
      </c>
      <c r="E190" s="69" t="s">
        <v>217</v>
      </c>
      <c r="F190" s="69" t="s">
        <v>218</v>
      </c>
      <c r="G190" s="67" t="s">
        <v>107</v>
      </c>
      <c r="H190" s="70" t="s">
        <v>225</v>
      </c>
      <c r="I190" s="69" t="s">
        <v>226</v>
      </c>
      <c r="J190" s="69" t="s">
        <v>227</v>
      </c>
      <c r="K190" s="67" t="s">
        <v>71</v>
      </c>
      <c r="L190" s="67"/>
      <c r="M190" s="71" t="n">
        <v>46436</v>
      </c>
      <c r="N190" s="71"/>
      <c r="O190" s="71"/>
      <c r="P190" s="71"/>
      <c r="Q190" s="72" t="str">
        <f aca="false">IF(AND(M190="",N190="",O190="",P190=""),"COMPLETAR",IF(P190&lt;&gt;"",IF(O190="","Finalizado",IF(P190&lt;O190,"Finalizado anticipado",IF(P190=O190,"Finalizado","Finalizado con desfase"))),IF(N190&lt;&gt;"",IF(O190="","No planificado",IF(O190&lt;='Tablas y Glosario'!$F$1,"Atrasado",IF(M190="","En curso",IF(N190&gt;M190,"Inicio retrasado",IF(N190&lt;M190,"Inicio anticipado","En curso"))))),IF(M190="","COMPLETAR",IF('Tablas y Glosario'!$F$1&gt;=M190,"No iniciado","Programado")))))</f>
        <v>Programado</v>
      </c>
    </row>
    <row r="191" customFormat="false" ht="35.05" hidden="false" customHeight="false" outlineLevel="0" collapsed="false">
      <c r="A191" s="61"/>
      <c r="B191" s="60" t="s">
        <v>61</v>
      </c>
      <c r="C191" s="61" t="s">
        <v>156</v>
      </c>
      <c r="D191" s="60" t="s">
        <v>79</v>
      </c>
      <c r="E191" s="73" t="s">
        <v>217</v>
      </c>
      <c r="F191" s="73" t="s">
        <v>218</v>
      </c>
      <c r="G191" s="61" t="s">
        <v>108</v>
      </c>
      <c r="H191" s="74" t="s">
        <v>228</v>
      </c>
      <c r="I191" s="73" t="s">
        <v>229</v>
      </c>
      <c r="J191" s="73" t="s">
        <v>230</v>
      </c>
      <c r="K191" s="61" t="s">
        <v>71</v>
      </c>
      <c r="L191" s="61"/>
      <c r="M191" s="75" t="n">
        <v>46437</v>
      </c>
      <c r="N191" s="75"/>
      <c r="O191" s="75"/>
      <c r="P191" s="75"/>
      <c r="Q191" s="76" t="str">
        <f aca="false">IF(AND(M191="",N191="",O191="",P191=""),"COMPLETAR",IF(P191&lt;&gt;"",IF(O191="","Finalizado",IF(P191&lt;O191,"Finalizado anticipado",IF(P191=O191,"Finalizado","Finalizado con desfase"))),IF(N191&lt;&gt;"",IF(O191="","No planificado",IF(O191&lt;='Tablas y Glosario'!$F$1,"Atrasado",IF(M191="","En curso",IF(N191&gt;M191,"Inicio retrasado",IF(N191&lt;M191,"Inicio anticipado","En curso"))))),IF(M191="","COMPLETAR",IF('Tablas y Glosario'!$F$1&gt;=M191,"No iniciado","Programado")))))</f>
        <v>Programado</v>
      </c>
    </row>
    <row r="192" customFormat="false" ht="35.05" hidden="false" customHeight="false" outlineLevel="0" collapsed="false">
      <c r="A192" s="67"/>
      <c r="B192" s="68" t="s">
        <v>61</v>
      </c>
      <c r="C192" s="67" t="s">
        <v>156</v>
      </c>
      <c r="D192" s="68" t="s">
        <v>79</v>
      </c>
      <c r="E192" s="69" t="s">
        <v>217</v>
      </c>
      <c r="F192" s="69" t="s">
        <v>218</v>
      </c>
      <c r="G192" s="67" t="s">
        <v>109</v>
      </c>
      <c r="H192" s="70" t="s">
        <v>222</v>
      </c>
      <c r="I192" s="69" t="s">
        <v>231</v>
      </c>
      <c r="J192" s="69" t="s">
        <v>232</v>
      </c>
      <c r="K192" s="67" t="s">
        <v>70</v>
      </c>
      <c r="L192" s="67"/>
      <c r="M192" s="71" t="n">
        <v>46438</v>
      </c>
      <c r="N192" s="71"/>
      <c r="O192" s="71"/>
      <c r="P192" s="71"/>
      <c r="Q192" s="72" t="str">
        <f aca="false">IF(AND(M192="",N192="",O192="",P192=""),"COMPLETAR",IF(P192&lt;&gt;"",IF(O192="","Finalizado",IF(P192&lt;O192,"Finalizado anticipado",IF(P192=O192,"Finalizado","Finalizado con desfase"))),IF(N192&lt;&gt;"",IF(O192="","No planificado",IF(O192&lt;='Tablas y Glosario'!$F$1,"Atrasado",IF(M192="","En curso",IF(N192&gt;M192,"Inicio retrasado",IF(N192&lt;M192,"Inicio anticipado","En curso"))))),IF(M192="","COMPLETAR",IF('Tablas y Glosario'!$F$1&gt;=M192,"No iniciado","Programado")))))</f>
        <v>Programado</v>
      </c>
    </row>
    <row r="193" customFormat="false" ht="35.05" hidden="false" customHeight="false" outlineLevel="0" collapsed="false">
      <c r="A193" s="61"/>
      <c r="B193" s="60" t="s">
        <v>61</v>
      </c>
      <c r="C193" s="61" t="s">
        <v>156</v>
      </c>
      <c r="D193" s="60" t="s">
        <v>79</v>
      </c>
      <c r="E193" s="73" t="s">
        <v>217</v>
      </c>
      <c r="F193" s="73" t="s">
        <v>218</v>
      </c>
      <c r="G193" s="61" t="s">
        <v>110</v>
      </c>
      <c r="H193" s="74" t="s">
        <v>233</v>
      </c>
      <c r="I193" s="73" t="s">
        <v>234</v>
      </c>
      <c r="J193" s="73" t="s">
        <v>235</v>
      </c>
      <c r="K193" s="61" t="s">
        <v>70</v>
      </c>
      <c r="L193" s="61"/>
      <c r="M193" s="75" t="n">
        <v>46439</v>
      </c>
      <c r="N193" s="75"/>
      <c r="O193" s="75"/>
      <c r="P193" s="75"/>
      <c r="Q193" s="76" t="str">
        <f aca="false">IF(AND(M193="",N193="",O193="",P193=""),"COMPLETAR",IF(P193&lt;&gt;"",IF(O193="","Finalizado",IF(P193&lt;O193,"Finalizado anticipado",IF(P193=O193,"Finalizado","Finalizado con desfase"))),IF(N193&lt;&gt;"",IF(O193="","No planificado",IF(O193&lt;='Tablas y Glosario'!$F$1,"Atrasado",IF(M193="","En curso",IF(N193&gt;M193,"Inicio retrasado",IF(N193&lt;M193,"Inicio anticipado","En curso"))))),IF(M193="","COMPLETAR",IF('Tablas y Glosario'!$F$1&gt;=M193,"No iniciado","Programado")))))</f>
        <v>Programado</v>
      </c>
    </row>
    <row r="194" customFormat="false" ht="35.05" hidden="false" customHeight="false" outlineLevel="0" collapsed="false">
      <c r="A194" s="67"/>
      <c r="B194" s="68" t="s">
        <v>61</v>
      </c>
      <c r="C194" s="67" t="s">
        <v>156</v>
      </c>
      <c r="D194" s="68" t="s">
        <v>80</v>
      </c>
      <c r="E194" s="69" t="s">
        <v>236</v>
      </c>
      <c r="F194" s="69" t="s">
        <v>237</v>
      </c>
      <c r="G194" s="67" t="s">
        <v>111</v>
      </c>
      <c r="H194" s="70" t="s">
        <v>238</v>
      </c>
      <c r="I194" s="69" t="s">
        <v>239</v>
      </c>
      <c r="J194" s="69" t="s">
        <v>240</v>
      </c>
      <c r="K194" s="67" t="s">
        <v>70</v>
      </c>
      <c r="L194" s="67"/>
      <c r="M194" s="71" t="n">
        <v>46440</v>
      </c>
      <c r="N194" s="71"/>
      <c r="O194" s="71"/>
      <c r="P194" s="71"/>
      <c r="Q194" s="72" t="str">
        <f aca="false">IF(AND(M194="",N194="",O194="",P194=""),"COMPLETAR",IF(P194&lt;&gt;"",IF(O194="","Finalizado",IF(P194&lt;O194,"Finalizado anticipado",IF(P194=O194,"Finalizado","Finalizado con desfase"))),IF(N194&lt;&gt;"",IF(O194="","No planificado",IF(O194&lt;='Tablas y Glosario'!$F$1,"Atrasado",IF(M194="","En curso",IF(N194&gt;M194,"Inicio retrasado",IF(N194&lt;M194,"Inicio anticipado","En curso"))))),IF(M194="","COMPLETAR",IF('Tablas y Glosario'!$F$1&gt;=M194,"No iniciado","Programado")))))</f>
        <v>Programado</v>
      </c>
    </row>
    <row r="195" customFormat="false" ht="35.05" hidden="false" customHeight="false" outlineLevel="0" collapsed="false">
      <c r="A195" s="61"/>
      <c r="B195" s="60" t="s">
        <v>61</v>
      </c>
      <c r="C195" s="61" t="s">
        <v>156</v>
      </c>
      <c r="D195" s="60" t="s">
        <v>80</v>
      </c>
      <c r="E195" s="73" t="s">
        <v>236</v>
      </c>
      <c r="F195" s="73" t="s">
        <v>237</v>
      </c>
      <c r="G195" s="61" t="s">
        <v>112</v>
      </c>
      <c r="H195" s="74" t="s">
        <v>241</v>
      </c>
      <c r="I195" s="73" t="s">
        <v>242</v>
      </c>
      <c r="J195" s="73" t="s">
        <v>243</v>
      </c>
      <c r="K195" s="61" t="s">
        <v>71</v>
      </c>
      <c r="L195" s="61"/>
      <c r="M195" s="75" t="n">
        <v>46441</v>
      </c>
      <c r="N195" s="75"/>
      <c r="O195" s="75"/>
      <c r="P195" s="75"/>
      <c r="Q195" s="76" t="str">
        <f aca="false">IF(AND(M195="",N195="",O195="",P195=""),"COMPLETAR",IF(P195&lt;&gt;"",IF(O195="","Finalizado",IF(P195&lt;O195,"Finalizado anticipado",IF(P195=O195,"Finalizado","Finalizado con desfase"))),IF(N195&lt;&gt;"",IF(O195="","No planificado",IF(O195&lt;='Tablas y Glosario'!$F$1,"Atrasado",IF(M195="","En curso",IF(N195&gt;M195,"Inicio retrasado",IF(N195&lt;M195,"Inicio anticipado","En curso"))))),IF(M195="","COMPLETAR",IF('Tablas y Glosario'!$F$1&gt;=M195,"No iniciado","Programado")))))</f>
        <v>Programado</v>
      </c>
    </row>
    <row r="196" customFormat="false" ht="35.05" hidden="false" customHeight="false" outlineLevel="0" collapsed="false">
      <c r="A196" s="67"/>
      <c r="B196" s="68" t="s">
        <v>61</v>
      </c>
      <c r="C196" s="67" t="s">
        <v>156</v>
      </c>
      <c r="D196" s="68" t="s">
        <v>80</v>
      </c>
      <c r="E196" s="69" t="s">
        <v>236</v>
      </c>
      <c r="F196" s="69" t="s">
        <v>237</v>
      </c>
      <c r="G196" s="67" t="s">
        <v>113</v>
      </c>
      <c r="H196" s="70" t="s">
        <v>244</v>
      </c>
      <c r="I196" s="69" t="s">
        <v>245</v>
      </c>
      <c r="J196" s="69" t="s">
        <v>246</v>
      </c>
      <c r="K196" s="67" t="s">
        <v>71</v>
      </c>
      <c r="L196" s="67"/>
      <c r="M196" s="71" t="n">
        <v>46442</v>
      </c>
      <c r="N196" s="71"/>
      <c r="O196" s="71"/>
      <c r="P196" s="71"/>
      <c r="Q196" s="72" t="str">
        <f aca="false">IF(AND(M196="",N196="",O196="",P196=""),"COMPLETAR",IF(P196&lt;&gt;"",IF(O196="","Finalizado",IF(P196&lt;O196,"Finalizado anticipado",IF(P196=O196,"Finalizado","Finalizado con desfase"))),IF(N196&lt;&gt;"",IF(O196="","No planificado",IF(O196&lt;='Tablas y Glosario'!$F$1,"Atrasado",IF(M196="","En curso",IF(N196&gt;M196,"Inicio retrasado",IF(N196&lt;M196,"Inicio anticipado","En curso"))))),IF(M196="","COMPLETAR",IF('Tablas y Glosario'!$F$1&gt;=M196,"No iniciado","Programado")))))</f>
        <v>Programado</v>
      </c>
    </row>
    <row r="197" customFormat="false" ht="35.05" hidden="false" customHeight="false" outlineLevel="0" collapsed="false">
      <c r="A197" s="61"/>
      <c r="B197" s="60" t="s">
        <v>61</v>
      </c>
      <c r="C197" s="61" t="s">
        <v>156</v>
      </c>
      <c r="D197" s="60" t="s">
        <v>80</v>
      </c>
      <c r="E197" s="73" t="s">
        <v>236</v>
      </c>
      <c r="F197" s="73" t="s">
        <v>237</v>
      </c>
      <c r="G197" s="61" t="s">
        <v>103</v>
      </c>
      <c r="H197" s="74" t="s">
        <v>247</v>
      </c>
      <c r="I197" s="73" t="s">
        <v>248</v>
      </c>
      <c r="J197" s="73" t="s">
        <v>249</v>
      </c>
      <c r="K197" s="61" t="s">
        <v>71</v>
      </c>
      <c r="L197" s="61"/>
      <c r="M197" s="75" t="n">
        <v>46443</v>
      </c>
      <c r="N197" s="75"/>
      <c r="O197" s="75"/>
      <c r="P197" s="75"/>
      <c r="Q197" s="76" t="str">
        <f aca="false">IF(AND(M197="",N197="",O197="",P197=""),"COMPLETAR",IF(P197&lt;&gt;"",IF(O197="","Finalizado",IF(P197&lt;O197,"Finalizado anticipado",IF(P197=O197,"Finalizado","Finalizado con desfase"))),IF(N197&lt;&gt;"",IF(O197="","No planificado",IF(O197&lt;='Tablas y Glosario'!$F$1,"Atrasado",IF(M197="","En curso",IF(N197&gt;M197,"Inicio retrasado",IF(N197&lt;M197,"Inicio anticipado","En curso"))))),IF(M197="","COMPLETAR",IF('Tablas y Glosario'!$F$1&gt;=M197,"No iniciado","Programado")))))</f>
        <v>Programado</v>
      </c>
    </row>
    <row r="198" customFormat="false" ht="35.05" hidden="false" customHeight="false" outlineLevel="0" collapsed="false">
      <c r="A198" s="67"/>
      <c r="B198" s="68" t="s">
        <v>61</v>
      </c>
      <c r="C198" s="67" t="s">
        <v>156</v>
      </c>
      <c r="D198" s="68" t="s">
        <v>80</v>
      </c>
      <c r="E198" s="69" t="s">
        <v>236</v>
      </c>
      <c r="F198" s="69" t="s">
        <v>237</v>
      </c>
      <c r="G198" s="67" t="s">
        <v>114</v>
      </c>
      <c r="H198" s="70" t="s">
        <v>250</v>
      </c>
      <c r="I198" s="69" t="s">
        <v>251</v>
      </c>
      <c r="J198" s="69" t="s">
        <v>252</v>
      </c>
      <c r="K198" s="67" t="s">
        <v>70</v>
      </c>
      <c r="L198" s="67"/>
      <c r="M198" s="71" t="n">
        <v>46444</v>
      </c>
      <c r="N198" s="71"/>
      <c r="O198" s="71"/>
      <c r="P198" s="71"/>
      <c r="Q198" s="72" t="str">
        <f aca="false">IF(AND(M198="",N198="",O198="",P198=""),"COMPLETAR",IF(P198&lt;&gt;"",IF(O198="","Finalizado",IF(P198&lt;O198,"Finalizado anticipado",IF(P198=O198,"Finalizado","Finalizado con desfase"))),IF(N198&lt;&gt;"",IF(O198="","No planificado",IF(O198&lt;='Tablas y Glosario'!$F$1,"Atrasado",IF(M198="","En curso",IF(N198&gt;M198,"Inicio retrasado",IF(N198&lt;M198,"Inicio anticipado","En curso"))))),IF(M198="","COMPLETAR",IF('Tablas y Glosario'!$F$1&gt;=M198,"No iniciado","Programado")))))</f>
        <v>Programado</v>
      </c>
    </row>
    <row r="199" customFormat="false" ht="35.05" hidden="false" customHeight="false" outlineLevel="0" collapsed="false">
      <c r="A199" s="61"/>
      <c r="B199" s="60" t="s">
        <v>61</v>
      </c>
      <c r="C199" s="61" t="s">
        <v>156</v>
      </c>
      <c r="D199" s="60" t="s">
        <v>81</v>
      </c>
      <c r="E199" s="73" t="s">
        <v>253</v>
      </c>
      <c r="F199" s="73" t="s">
        <v>254</v>
      </c>
      <c r="G199" s="61" t="s">
        <v>115</v>
      </c>
      <c r="H199" s="74" t="s">
        <v>255</v>
      </c>
      <c r="I199" s="73" t="s">
        <v>256</v>
      </c>
      <c r="J199" s="73" t="s">
        <v>257</v>
      </c>
      <c r="K199" s="61" t="s">
        <v>71</v>
      </c>
      <c r="L199" s="61"/>
      <c r="M199" s="75" t="n">
        <v>46445</v>
      </c>
      <c r="N199" s="75"/>
      <c r="O199" s="75"/>
      <c r="P199" s="75"/>
      <c r="Q199" s="76" t="str">
        <f aca="false">IF(AND(M199="",N199="",O199="",P199=""),"COMPLETAR",IF(P199&lt;&gt;"",IF(O199="","Finalizado",IF(P199&lt;O199,"Finalizado anticipado",IF(P199=O199,"Finalizado","Finalizado con desfase"))),IF(N199&lt;&gt;"",IF(O199="","No planificado",IF(O199&lt;='Tablas y Glosario'!$F$1,"Atrasado",IF(M199="","En curso",IF(N199&gt;M199,"Inicio retrasado",IF(N199&lt;M199,"Inicio anticipado","En curso"))))),IF(M199="","COMPLETAR",IF('Tablas y Glosario'!$F$1&gt;=M199,"No iniciado","Programado")))))</f>
        <v>Programado</v>
      </c>
    </row>
    <row r="200" customFormat="false" ht="35.05" hidden="false" customHeight="false" outlineLevel="0" collapsed="false">
      <c r="A200" s="67"/>
      <c r="B200" s="68" t="s">
        <v>61</v>
      </c>
      <c r="C200" s="67" t="s">
        <v>156</v>
      </c>
      <c r="D200" s="68" t="s">
        <v>81</v>
      </c>
      <c r="E200" s="69" t="s">
        <v>253</v>
      </c>
      <c r="F200" s="69" t="s">
        <v>254</v>
      </c>
      <c r="G200" s="67" t="s">
        <v>116</v>
      </c>
      <c r="H200" s="70" t="s">
        <v>258</v>
      </c>
      <c r="I200" s="69" t="s">
        <v>259</v>
      </c>
      <c r="J200" s="69" t="s">
        <v>260</v>
      </c>
      <c r="K200" s="67" t="s">
        <v>71</v>
      </c>
      <c r="L200" s="67"/>
      <c r="M200" s="71" t="n">
        <v>46446</v>
      </c>
      <c r="N200" s="71"/>
      <c r="O200" s="71"/>
      <c r="P200" s="71"/>
      <c r="Q200" s="72" t="str">
        <f aca="false">IF(AND(M200="",N200="",O200="",P200=""),"COMPLETAR",IF(P200&lt;&gt;"",IF(O200="","Finalizado",IF(P200&lt;O200,"Finalizado anticipado",IF(P200=O200,"Finalizado","Finalizado con desfase"))),IF(N200&lt;&gt;"",IF(O200="","No planificado",IF(O200&lt;='Tablas y Glosario'!$F$1,"Atrasado",IF(M200="","En curso",IF(N200&gt;M200,"Inicio retrasado",IF(N200&lt;M200,"Inicio anticipado","En curso"))))),IF(M200="","COMPLETAR",IF('Tablas y Glosario'!$F$1&gt;=M200,"No iniciado","Programado")))))</f>
        <v>Programado</v>
      </c>
    </row>
    <row r="201" customFormat="false" ht="35.05" hidden="false" customHeight="false" outlineLevel="0" collapsed="false">
      <c r="A201" s="61"/>
      <c r="B201" s="60" t="s">
        <v>61</v>
      </c>
      <c r="C201" s="61" t="s">
        <v>156</v>
      </c>
      <c r="D201" s="60" t="s">
        <v>81</v>
      </c>
      <c r="E201" s="73" t="s">
        <v>253</v>
      </c>
      <c r="F201" s="73" t="s">
        <v>254</v>
      </c>
      <c r="G201" s="61" t="s">
        <v>117</v>
      </c>
      <c r="H201" s="74" t="s">
        <v>261</v>
      </c>
      <c r="I201" s="73" t="s">
        <v>262</v>
      </c>
      <c r="J201" s="73" t="s">
        <v>263</v>
      </c>
      <c r="K201" s="61" t="s">
        <v>71</v>
      </c>
      <c r="L201" s="61"/>
      <c r="M201" s="75" t="n">
        <v>46447</v>
      </c>
      <c r="N201" s="75"/>
      <c r="O201" s="75"/>
      <c r="P201" s="75"/>
      <c r="Q201" s="76" t="str">
        <f aca="false">IF(AND(M201="",N201="",O201="",P201=""),"COMPLETAR",IF(P201&lt;&gt;"",IF(O201="","Finalizado",IF(P201&lt;O201,"Finalizado anticipado",IF(P201=O201,"Finalizado","Finalizado con desfase"))),IF(N201&lt;&gt;"",IF(O201="","No planificado",IF(O201&lt;='Tablas y Glosario'!$F$1,"Atrasado",IF(M201="","En curso",IF(N201&gt;M201,"Inicio retrasado",IF(N201&lt;M201,"Inicio anticipado","En curso"))))),IF(M201="","COMPLETAR",IF('Tablas y Glosario'!$F$1&gt;=M201,"No iniciado","Programado")))))</f>
        <v>Programado</v>
      </c>
    </row>
    <row r="202" customFormat="false" ht="35.05" hidden="false" customHeight="false" outlineLevel="0" collapsed="false">
      <c r="A202" s="67"/>
      <c r="B202" s="68" t="s">
        <v>61</v>
      </c>
      <c r="C202" s="67" t="s">
        <v>156</v>
      </c>
      <c r="D202" s="68" t="s">
        <v>81</v>
      </c>
      <c r="E202" s="69" t="s">
        <v>253</v>
      </c>
      <c r="F202" s="69" t="s">
        <v>254</v>
      </c>
      <c r="G202" s="67" t="s">
        <v>118</v>
      </c>
      <c r="H202" s="70" t="s">
        <v>264</v>
      </c>
      <c r="I202" s="69" t="s">
        <v>265</v>
      </c>
      <c r="J202" s="69" t="s">
        <v>266</v>
      </c>
      <c r="K202" s="67" t="s">
        <v>71</v>
      </c>
      <c r="L202" s="67"/>
      <c r="M202" s="71" t="n">
        <v>46448</v>
      </c>
      <c r="N202" s="71"/>
      <c r="O202" s="71"/>
      <c r="P202" s="71"/>
      <c r="Q202" s="72" t="str">
        <f aca="false">IF(AND(M202="",N202="",O202="",P202=""),"COMPLETAR",IF(P202&lt;&gt;"",IF(O202="","Finalizado",IF(P202&lt;O202,"Finalizado anticipado",IF(P202=O202,"Finalizado","Finalizado con desfase"))),IF(N202&lt;&gt;"",IF(O202="","No planificado",IF(O202&lt;='Tablas y Glosario'!$F$1,"Atrasado",IF(M202="","En curso",IF(N202&gt;M202,"Inicio retrasado",IF(N202&lt;M202,"Inicio anticipado","En curso"))))),IF(M202="","COMPLETAR",IF('Tablas y Glosario'!$F$1&gt;=M202,"No iniciado","Programado")))))</f>
        <v>Programado</v>
      </c>
    </row>
    <row r="203" customFormat="false" ht="35.05" hidden="false" customHeight="false" outlineLevel="0" collapsed="false">
      <c r="A203" s="61"/>
      <c r="B203" s="60" t="s">
        <v>61</v>
      </c>
      <c r="C203" s="61" t="s">
        <v>156</v>
      </c>
      <c r="D203" s="60" t="s">
        <v>81</v>
      </c>
      <c r="E203" s="73" t="s">
        <v>253</v>
      </c>
      <c r="F203" s="73" t="s">
        <v>254</v>
      </c>
      <c r="G203" s="61" t="s">
        <v>119</v>
      </c>
      <c r="H203" s="74" t="s">
        <v>267</v>
      </c>
      <c r="I203" s="73" t="s">
        <v>268</v>
      </c>
      <c r="J203" s="73" t="s">
        <v>269</v>
      </c>
      <c r="K203" s="61" t="s">
        <v>71</v>
      </c>
      <c r="L203" s="61"/>
      <c r="M203" s="75" t="n">
        <v>46449</v>
      </c>
      <c r="N203" s="75"/>
      <c r="O203" s="75"/>
      <c r="P203" s="75"/>
      <c r="Q203" s="76" t="str">
        <f aca="false">IF(AND(M203="",N203="",O203="",P203=""),"COMPLETAR",IF(P203&lt;&gt;"",IF(O203="","Finalizado",IF(P203&lt;O203,"Finalizado anticipado",IF(P203=O203,"Finalizado","Finalizado con desfase"))),IF(N203&lt;&gt;"",IF(O203="","No planificado",IF(O203&lt;='Tablas y Glosario'!$F$1,"Atrasado",IF(M203="","En curso",IF(N203&gt;M203,"Inicio retrasado",IF(N203&lt;M203,"Inicio anticipado","En curso"))))),IF(M203="","COMPLETAR",IF('Tablas y Glosario'!$F$1&gt;=M203,"No iniciado","Programado")))))</f>
        <v>Programado</v>
      </c>
    </row>
    <row r="204" customFormat="false" ht="35.05" hidden="false" customHeight="false" outlineLevel="0" collapsed="false">
      <c r="A204" s="67"/>
      <c r="B204" s="68" t="s">
        <v>61</v>
      </c>
      <c r="C204" s="67" t="s">
        <v>156</v>
      </c>
      <c r="D204" s="68" t="s">
        <v>81</v>
      </c>
      <c r="E204" s="69" t="s">
        <v>253</v>
      </c>
      <c r="F204" s="69" t="s">
        <v>254</v>
      </c>
      <c r="G204" s="67" t="s">
        <v>120</v>
      </c>
      <c r="H204" s="70" t="s">
        <v>270</v>
      </c>
      <c r="I204" s="69" t="s">
        <v>271</v>
      </c>
      <c r="J204" s="69" t="s">
        <v>272</v>
      </c>
      <c r="K204" s="67" t="s">
        <v>70</v>
      </c>
      <c r="L204" s="67"/>
      <c r="M204" s="71" t="n">
        <v>46450</v>
      </c>
      <c r="N204" s="71"/>
      <c r="O204" s="71"/>
      <c r="P204" s="71"/>
      <c r="Q204" s="72" t="str">
        <f aca="false">IF(AND(M204="",N204="",O204="",P204=""),"COMPLETAR",IF(P204&lt;&gt;"",IF(O204="","Finalizado",IF(P204&lt;O204,"Finalizado anticipado",IF(P204=O204,"Finalizado","Finalizado con desfase"))),IF(N204&lt;&gt;"",IF(O204="","No planificado",IF(O204&lt;='Tablas y Glosario'!$F$1,"Atrasado",IF(M204="","En curso",IF(N204&gt;M204,"Inicio retrasado",IF(N204&lt;M204,"Inicio anticipado","En curso"))))),IF(M204="","COMPLETAR",IF('Tablas y Glosario'!$F$1&gt;=M204,"No iniciado","Programado")))))</f>
        <v>Programado</v>
      </c>
    </row>
    <row r="205" customFormat="false" ht="35.05" hidden="false" customHeight="false" outlineLevel="0" collapsed="false">
      <c r="A205" s="61"/>
      <c r="B205" s="60" t="s">
        <v>61</v>
      </c>
      <c r="C205" s="61" t="s">
        <v>156</v>
      </c>
      <c r="D205" s="60" t="s">
        <v>82</v>
      </c>
      <c r="E205" s="73" t="s">
        <v>273</v>
      </c>
      <c r="F205" s="73" t="s">
        <v>274</v>
      </c>
      <c r="G205" s="61" t="s">
        <v>121</v>
      </c>
      <c r="H205" s="74" t="s">
        <v>275</v>
      </c>
      <c r="I205" s="73" t="s">
        <v>276</v>
      </c>
      <c r="J205" s="73" t="s">
        <v>277</v>
      </c>
      <c r="K205" s="61" t="s">
        <v>71</v>
      </c>
      <c r="L205" s="61"/>
      <c r="M205" s="75" t="n">
        <v>46451</v>
      </c>
      <c r="N205" s="75"/>
      <c r="O205" s="75"/>
      <c r="P205" s="75"/>
      <c r="Q205" s="76" t="str">
        <f aca="false">IF(AND(M205="",N205="",O205="",P205=""),"COMPLETAR",IF(P205&lt;&gt;"",IF(O205="","Finalizado",IF(P205&lt;O205,"Finalizado anticipado",IF(P205=O205,"Finalizado","Finalizado con desfase"))),IF(N205&lt;&gt;"",IF(O205="","No planificado",IF(O205&lt;='Tablas y Glosario'!$F$1,"Atrasado",IF(M205="","En curso",IF(N205&gt;M205,"Inicio retrasado",IF(N205&lt;M205,"Inicio anticipado","En curso"))))),IF(M205="","COMPLETAR",IF('Tablas y Glosario'!$F$1&gt;=M205,"No iniciado","Programado")))))</f>
        <v>Programado</v>
      </c>
    </row>
    <row r="206" customFormat="false" ht="35.05" hidden="false" customHeight="false" outlineLevel="0" collapsed="false">
      <c r="A206" s="67"/>
      <c r="B206" s="68" t="s">
        <v>61</v>
      </c>
      <c r="C206" s="67" t="s">
        <v>156</v>
      </c>
      <c r="D206" s="68" t="s">
        <v>82</v>
      </c>
      <c r="E206" s="69" t="s">
        <v>273</v>
      </c>
      <c r="F206" s="69" t="s">
        <v>274</v>
      </c>
      <c r="G206" s="67" t="s">
        <v>122</v>
      </c>
      <c r="H206" s="70" t="s">
        <v>278</v>
      </c>
      <c r="I206" s="69" t="s">
        <v>279</v>
      </c>
      <c r="J206" s="69" t="s">
        <v>280</v>
      </c>
      <c r="K206" s="67" t="s">
        <v>71</v>
      </c>
      <c r="L206" s="67"/>
      <c r="M206" s="71" t="n">
        <v>46452</v>
      </c>
      <c r="N206" s="71"/>
      <c r="O206" s="71"/>
      <c r="P206" s="71"/>
      <c r="Q206" s="72" t="str">
        <f aca="false">IF(AND(M206="",N206="",O206="",P206=""),"COMPLETAR",IF(P206&lt;&gt;"",IF(O206="","Finalizado",IF(P206&lt;O206,"Finalizado anticipado",IF(P206=O206,"Finalizado","Finalizado con desfase"))),IF(N206&lt;&gt;"",IF(O206="","No planificado",IF(O206&lt;='Tablas y Glosario'!$F$1,"Atrasado",IF(M206="","En curso",IF(N206&gt;M206,"Inicio retrasado",IF(N206&lt;M206,"Inicio anticipado","En curso"))))),IF(M206="","COMPLETAR",IF('Tablas y Glosario'!$F$1&gt;=M206,"No iniciado","Programado")))))</f>
        <v>Programado</v>
      </c>
    </row>
    <row r="207" customFormat="false" ht="35.05" hidden="false" customHeight="false" outlineLevel="0" collapsed="false">
      <c r="A207" s="61"/>
      <c r="B207" s="60" t="s">
        <v>61</v>
      </c>
      <c r="C207" s="61" t="s">
        <v>156</v>
      </c>
      <c r="D207" s="60" t="s">
        <v>82</v>
      </c>
      <c r="E207" s="73" t="s">
        <v>273</v>
      </c>
      <c r="F207" s="73" t="s">
        <v>274</v>
      </c>
      <c r="G207" s="61" t="s">
        <v>123</v>
      </c>
      <c r="H207" s="74" t="s">
        <v>281</v>
      </c>
      <c r="I207" s="73" t="s">
        <v>282</v>
      </c>
      <c r="J207" s="73" t="s">
        <v>227</v>
      </c>
      <c r="K207" s="61" t="s">
        <v>71</v>
      </c>
      <c r="L207" s="61"/>
      <c r="M207" s="75" t="n">
        <v>46453</v>
      </c>
      <c r="N207" s="75"/>
      <c r="O207" s="75"/>
      <c r="P207" s="75"/>
      <c r="Q207" s="76" t="str">
        <f aca="false">IF(AND(M207="",N207="",O207="",P207=""),"COMPLETAR",IF(P207&lt;&gt;"",IF(O207="","Finalizado",IF(P207&lt;O207,"Finalizado anticipado",IF(P207=O207,"Finalizado","Finalizado con desfase"))),IF(N207&lt;&gt;"",IF(O207="","No planificado",IF(O207&lt;='Tablas y Glosario'!$F$1,"Atrasado",IF(M207="","En curso",IF(N207&gt;M207,"Inicio retrasado",IF(N207&lt;M207,"Inicio anticipado","En curso"))))),IF(M207="","COMPLETAR",IF('Tablas y Glosario'!$F$1&gt;=M207,"No iniciado","Programado")))))</f>
        <v>Programado</v>
      </c>
    </row>
    <row r="208" customFormat="false" ht="46.25" hidden="false" customHeight="false" outlineLevel="0" collapsed="false">
      <c r="A208" s="67"/>
      <c r="B208" s="68" t="s">
        <v>61</v>
      </c>
      <c r="C208" s="67" t="s">
        <v>156</v>
      </c>
      <c r="D208" s="68" t="s">
        <v>83</v>
      </c>
      <c r="E208" s="69" t="s">
        <v>283</v>
      </c>
      <c r="F208" s="69" t="s">
        <v>284</v>
      </c>
      <c r="G208" s="67" t="s">
        <v>124</v>
      </c>
      <c r="H208" s="70" t="s">
        <v>285</v>
      </c>
      <c r="I208" s="69" t="s">
        <v>286</v>
      </c>
      <c r="J208" s="69" t="s">
        <v>287</v>
      </c>
      <c r="K208" s="67" t="s">
        <v>70</v>
      </c>
      <c r="L208" s="67"/>
      <c r="M208" s="71" t="n">
        <v>46454</v>
      </c>
      <c r="N208" s="71"/>
      <c r="O208" s="71"/>
      <c r="P208" s="71"/>
      <c r="Q208" s="72" t="str">
        <f aca="false">IF(AND(M208="",N208="",O208="",P208=""),"COMPLETAR",IF(P208&lt;&gt;"",IF(O208="","Finalizado",IF(P208&lt;O208,"Finalizado anticipado",IF(P208=O208,"Finalizado","Finalizado con desfase"))),IF(N208&lt;&gt;"",IF(O208="","No planificado",IF(O208&lt;='Tablas y Glosario'!$F$1,"Atrasado",IF(M208="","En curso",IF(N208&gt;M208,"Inicio retrasado",IF(N208&lt;M208,"Inicio anticipado","En curso"))))),IF(M208="","COMPLETAR",IF('Tablas y Glosario'!$F$1&gt;=M208,"No iniciado","Programado")))))</f>
        <v>Programado</v>
      </c>
    </row>
    <row r="209" customFormat="false" ht="46.25" hidden="false" customHeight="false" outlineLevel="0" collapsed="false">
      <c r="A209" s="61"/>
      <c r="B209" s="60" t="s">
        <v>61</v>
      </c>
      <c r="C209" s="61" t="s">
        <v>156</v>
      </c>
      <c r="D209" s="60" t="s">
        <v>83</v>
      </c>
      <c r="E209" s="73" t="s">
        <v>283</v>
      </c>
      <c r="F209" s="73" t="s">
        <v>288</v>
      </c>
      <c r="G209" s="61" t="s">
        <v>125</v>
      </c>
      <c r="H209" s="74" t="s">
        <v>289</v>
      </c>
      <c r="I209" s="73" t="s">
        <v>290</v>
      </c>
      <c r="J209" s="73" t="s">
        <v>291</v>
      </c>
      <c r="K209" s="61" t="s">
        <v>70</v>
      </c>
      <c r="L209" s="61"/>
      <c r="M209" s="75" t="n">
        <v>46455</v>
      </c>
      <c r="N209" s="75"/>
      <c r="O209" s="75"/>
      <c r="P209" s="75"/>
      <c r="Q209" s="76" t="str">
        <f aca="false">IF(AND(M209="",N209="",O209="",P209=""),"COMPLETAR",IF(P209&lt;&gt;"",IF(O209="","Finalizado",IF(P209&lt;O209,"Finalizado anticipado",IF(P209=O209,"Finalizado","Finalizado con desfase"))),IF(N209&lt;&gt;"",IF(O209="","No planificado",IF(O209&lt;='Tablas y Glosario'!$F$1,"Atrasado",IF(M209="","En curso",IF(N209&gt;M209,"Inicio retrasado",IF(N209&lt;M209,"Inicio anticipado","En curso"))))),IF(M209="","COMPLETAR",IF('Tablas y Glosario'!$F$1&gt;=M209,"No iniciado","Programado")))))</f>
        <v>Programado</v>
      </c>
    </row>
    <row r="210" customFormat="false" ht="46.25" hidden="false" customHeight="false" outlineLevel="0" collapsed="false">
      <c r="A210" s="67"/>
      <c r="B210" s="68" t="s">
        <v>61</v>
      </c>
      <c r="C210" s="67" t="s">
        <v>156</v>
      </c>
      <c r="D210" s="68" t="s">
        <v>83</v>
      </c>
      <c r="E210" s="69" t="s">
        <v>283</v>
      </c>
      <c r="F210" s="69" t="s">
        <v>288</v>
      </c>
      <c r="G210" s="67" t="s">
        <v>126</v>
      </c>
      <c r="H210" s="70" t="s">
        <v>292</v>
      </c>
      <c r="I210" s="69" t="s">
        <v>293</v>
      </c>
      <c r="J210" s="69" t="s">
        <v>294</v>
      </c>
      <c r="K210" s="67" t="s">
        <v>70</v>
      </c>
      <c r="L210" s="67"/>
      <c r="M210" s="71" t="n">
        <v>46456</v>
      </c>
      <c r="N210" s="71"/>
      <c r="O210" s="71"/>
      <c r="P210" s="71"/>
      <c r="Q210" s="72" t="str">
        <f aca="false">IF(AND(M210="",N210="",O210="",P210=""),"COMPLETAR",IF(P210&lt;&gt;"",IF(O210="","Finalizado",IF(P210&lt;O210,"Finalizado anticipado",IF(P210=O210,"Finalizado","Finalizado con desfase"))),IF(N210&lt;&gt;"",IF(O210="","No planificado",IF(O210&lt;='Tablas y Glosario'!$F$1,"Atrasado",IF(M210="","En curso",IF(N210&gt;M210,"Inicio retrasado",IF(N210&lt;M210,"Inicio anticipado","En curso"))))),IF(M210="","COMPLETAR",IF('Tablas y Glosario'!$F$1&gt;=M210,"No iniciado","Programado")))))</f>
        <v>Programado</v>
      </c>
    </row>
    <row r="211" customFormat="false" ht="46.25" hidden="false" customHeight="false" outlineLevel="0" collapsed="false">
      <c r="A211" s="61"/>
      <c r="B211" s="60" t="s">
        <v>61</v>
      </c>
      <c r="C211" s="61" t="s">
        <v>156</v>
      </c>
      <c r="D211" s="60" t="s">
        <v>83</v>
      </c>
      <c r="E211" s="73" t="s">
        <v>283</v>
      </c>
      <c r="F211" s="73" t="s">
        <v>288</v>
      </c>
      <c r="G211" s="61" t="s">
        <v>127</v>
      </c>
      <c r="H211" s="74" t="s">
        <v>295</v>
      </c>
      <c r="I211" s="73" t="s">
        <v>296</v>
      </c>
      <c r="J211" s="73" t="s">
        <v>297</v>
      </c>
      <c r="K211" s="61" t="s">
        <v>70</v>
      </c>
      <c r="L211" s="61"/>
      <c r="M211" s="75" t="n">
        <v>46457</v>
      </c>
      <c r="N211" s="75"/>
      <c r="O211" s="75"/>
      <c r="P211" s="75"/>
      <c r="Q211" s="76" t="str">
        <f aca="false">IF(AND(M211="",N211="",O211="",P211=""),"COMPLETAR",IF(P211&lt;&gt;"",IF(O211="","Finalizado",IF(P211&lt;O211,"Finalizado anticipado",IF(P211=O211,"Finalizado","Finalizado con desfase"))),IF(N211&lt;&gt;"",IF(O211="","No planificado",IF(O211&lt;='Tablas y Glosario'!$F$1,"Atrasado",IF(M211="","En curso",IF(N211&gt;M211,"Inicio retrasado",IF(N211&lt;M211,"Inicio anticipado","En curso"))))),IF(M211="","COMPLETAR",IF('Tablas y Glosario'!$F$1&gt;=M211,"No iniciado","Programado")))))</f>
        <v>Programado</v>
      </c>
    </row>
    <row r="212" customFormat="false" ht="57.45" hidden="false" customHeight="false" outlineLevel="0" collapsed="false">
      <c r="A212" s="67"/>
      <c r="B212" s="68" t="s">
        <v>65</v>
      </c>
      <c r="C212" s="67" t="s">
        <v>156</v>
      </c>
      <c r="D212" s="68" t="s">
        <v>74</v>
      </c>
      <c r="E212" s="69" t="s">
        <v>157</v>
      </c>
      <c r="F212" s="69" t="s">
        <v>158</v>
      </c>
      <c r="G212" s="67" t="s">
        <v>87</v>
      </c>
      <c r="H212" s="70" t="s">
        <v>159</v>
      </c>
      <c r="I212" s="69" t="s">
        <v>160</v>
      </c>
      <c r="J212" s="69" t="s">
        <v>161</v>
      </c>
      <c r="K212" s="67" t="s">
        <v>70</v>
      </c>
      <c r="L212" s="67"/>
      <c r="M212" s="71" t="n">
        <v>46458</v>
      </c>
      <c r="N212" s="71"/>
      <c r="O212" s="71"/>
      <c r="P212" s="71"/>
      <c r="Q212" s="72" t="str">
        <f aca="false">IF(AND(M212="",N212="",O212="",P212=""),"COMPLETAR",IF(P212&lt;&gt;"",IF(O212="","Finalizado",IF(P212&lt;O212,"Finalizado anticipado",IF(P212=O212,"Finalizado","Finalizado con desfase"))),IF(N212&lt;&gt;"",IF(O212="","No planificado",IF(O212&lt;='Tablas y Glosario'!$F$1,"Atrasado",IF(M212="","En curso",IF(N212&gt;M212,"Inicio retrasado",IF(N212&lt;M212,"Inicio anticipado","En curso"))))),IF(M212="","COMPLETAR",IF('Tablas y Glosario'!$F$1&gt;=M212,"No iniciado","Programado")))))</f>
        <v>Programado</v>
      </c>
    </row>
    <row r="213" customFormat="false" ht="57.45" hidden="false" customHeight="false" outlineLevel="0" collapsed="false">
      <c r="A213" s="61"/>
      <c r="B213" s="60" t="s">
        <v>65</v>
      </c>
      <c r="C213" s="61" t="s">
        <v>156</v>
      </c>
      <c r="D213" s="60" t="s">
        <v>74</v>
      </c>
      <c r="E213" s="73" t="s">
        <v>157</v>
      </c>
      <c r="F213" s="73" t="s">
        <v>158</v>
      </c>
      <c r="G213" s="61" t="s">
        <v>88</v>
      </c>
      <c r="H213" s="74" t="s">
        <v>162</v>
      </c>
      <c r="I213" s="73" t="s">
        <v>163</v>
      </c>
      <c r="J213" s="73" t="s">
        <v>164</v>
      </c>
      <c r="K213" s="61" t="s">
        <v>70</v>
      </c>
      <c r="L213" s="61"/>
      <c r="M213" s="75" t="n">
        <v>46459</v>
      </c>
      <c r="N213" s="75"/>
      <c r="O213" s="75"/>
      <c r="P213" s="75"/>
      <c r="Q213" s="76" t="str">
        <f aca="false">IF(AND(M213="",N213="",O213="",P213=""),"COMPLETAR",IF(P213&lt;&gt;"",IF(O213="","Finalizado",IF(P213&lt;O213,"Finalizado anticipado",IF(P213=O213,"Finalizado","Finalizado con desfase"))),IF(N213&lt;&gt;"",IF(O213="","No planificado",IF(O213&lt;='Tablas y Glosario'!$F$1,"Atrasado",IF(M213="","En curso",IF(N213&gt;M213,"Inicio retrasado",IF(N213&lt;M213,"Inicio anticipado","En curso"))))),IF(M213="","COMPLETAR",IF('Tablas y Glosario'!$F$1&gt;=M213,"No iniciado","Programado")))))</f>
        <v>Programado</v>
      </c>
    </row>
    <row r="214" customFormat="false" ht="57.45" hidden="false" customHeight="false" outlineLevel="0" collapsed="false">
      <c r="A214" s="67"/>
      <c r="B214" s="68" t="s">
        <v>65</v>
      </c>
      <c r="C214" s="67" t="s">
        <v>156</v>
      </c>
      <c r="D214" s="68" t="s">
        <v>74</v>
      </c>
      <c r="E214" s="69" t="s">
        <v>157</v>
      </c>
      <c r="F214" s="69" t="s">
        <v>158</v>
      </c>
      <c r="G214" s="67" t="s">
        <v>89</v>
      </c>
      <c r="H214" s="70" t="s">
        <v>165</v>
      </c>
      <c r="I214" s="69" t="s">
        <v>166</v>
      </c>
      <c r="J214" s="69" t="s">
        <v>167</v>
      </c>
      <c r="K214" s="67" t="s">
        <v>70</v>
      </c>
      <c r="L214" s="67"/>
      <c r="M214" s="71" t="n">
        <v>46460</v>
      </c>
      <c r="N214" s="71"/>
      <c r="O214" s="71"/>
      <c r="P214" s="71"/>
      <c r="Q214" s="72" t="str">
        <f aca="false">IF(AND(M214="",N214="",O214="",P214=""),"COMPLETAR",IF(P214&lt;&gt;"",IF(O214="","Finalizado",IF(P214&lt;O214,"Finalizado anticipado",IF(P214=O214,"Finalizado","Finalizado con desfase"))),IF(N214&lt;&gt;"",IF(O214="","No planificado",IF(O214&lt;='Tablas y Glosario'!$F$1,"Atrasado",IF(M214="","En curso",IF(N214&gt;M214,"Inicio retrasado",IF(N214&lt;M214,"Inicio anticipado","En curso"))))),IF(M214="","COMPLETAR",IF('Tablas y Glosario'!$F$1&gt;=M214,"No iniciado","Programado")))))</f>
        <v>Programado</v>
      </c>
    </row>
    <row r="215" customFormat="false" ht="57.45" hidden="false" customHeight="false" outlineLevel="0" collapsed="false">
      <c r="A215" s="61"/>
      <c r="B215" s="60" t="s">
        <v>65</v>
      </c>
      <c r="C215" s="61" t="s">
        <v>156</v>
      </c>
      <c r="D215" s="60" t="s">
        <v>74</v>
      </c>
      <c r="E215" s="73" t="s">
        <v>157</v>
      </c>
      <c r="F215" s="73" t="s">
        <v>158</v>
      </c>
      <c r="G215" s="61" t="s">
        <v>90</v>
      </c>
      <c r="H215" s="74" t="s">
        <v>168</v>
      </c>
      <c r="I215" s="73" t="s">
        <v>169</v>
      </c>
      <c r="J215" s="73" t="s">
        <v>170</v>
      </c>
      <c r="K215" s="61" t="s">
        <v>70</v>
      </c>
      <c r="L215" s="61"/>
      <c r="M215" s="75" t="n">
        <v>46461</v>
      </c>
      <c r="N215" s="75"/>
      <c r="O215" s="75"/>
      <c r="P215" s="75"/>
      <c r="Q215" s="76" t="str">
        <f aca="false">IF(AND(M215="",N215="",O215="",P215=""),"COMPLETAR",IF(P215&lt;&gt;"",IF(O215="","Finalizado",IF(P215&lt;O215,"Finalizado anticipado",IF(P215=O215,"Finalizado","Finalizado con desfase"))),IF(N215&lt;&gt;"",IF(O215="","No planificado",IF(O215&lt;='Tablas y Glosario'!$F$1,"Atrasado",IF(M215="","En curso",IF(N215&gt;M215,"Inicio retrasado",IF(N215&lt;M215,"Inicio anticipado","En curso"))))),IF(M215="","COMPLETAR",IF('Tablas y Glosario'!$F$1&gt;=M215,"No iniciado","Programado")))))</f>
        <v>Programado</v>
      </c>
    </row>
    <row r="216" customFormat="false" ht="46.25" hidden="false" customHeight="false" outlineLevel="0" collapsed="false">
      <c r="A216" s="67"/>
      <c r="B216" s="68" t="s">
        <v>65</v>
      </c>
      <c r="C216" s="67" t="s">
        <v>156</v>
      </c>
      <c r="D216" s="68" t="s">
        <v>75</v>
      </c>
      <c r="E216" s="69" t="s">
        <v>171</v>
      </c>
      <c r="F216" s="69" t="s">
        <v>172</v>
      </c>
      <c r="G216" s="67" t="s">
        <v>91</v>
      </c>
      <c r="H216" s="70" t="s">
        <v>173</v>
      </c>
      <c r="I216" s="69" t="s">
        <v>174</v>
      </c>
      <c r="J216" s="69" t="s">
        <v>175</v>
      </c>
      <c r="K216" s="67" t="s">
        <v>70</v>
      </c>
      <c r="L216" s="67"/>
      <c r="M216" s="71" t="n">
        <v>46462</v>
      </c>
      <c r="N216" s="71"/>
      <c r="O216" s="71"/>
      <c r="P216" s="71"/>
      <c r="Q216" s="72" t="str">
        <f aca="false">IF(AND(M216="",N216="",O216="",P216=""),"COMPLETAR",IF(P216&lt;&gt;"",IF(O216="","Finalizado",IF(P216&lt;O216,"Finalizado anticipado",IF(P216=O216,"Finalizado","Finalizado con desfase"))),IF(N216&lt;&gt;"",IF(O216="","No planificado",IF(O216&lt;='Tablas y Glosario'!$F$1,"Atrasado",IF(M216="","En curso",IF(N216&gt;M216,"Inicio retrasado",IF(N216&lt;M216,"Inicio anticipado","En curso"))))),IF(M216="","COMPLETAR",IF('Tablas y Glosario'!$F$1&gt;=M216,"No iniciado","Programado")))))</f>
        <v>Programado</v>
      </c>
    </row>
    <row r="217" customFormat="false" ht="46.25" hidden="false" customHeight="false" outlineLevel="0" collapsed="false">
      <c r="A217" s="61"/>
      <c r="B217" s="60" t="s">
        <v>65</v>
      </c>
      <c r="C217" s="61" t="s">
        <v>156</v>
      </c>
      <c r="D217" s="60" t="s">
        <v>75</v>
      </c>
      <c r="E217" s="73" t="s">
        <v>171</v>
      </c>
      <c r="F217" s="73" t="s">
        <v>176</v>
      </c>
      <c r="G217" s="61" t="s">
        <v>92</v>
      </c>
      <c r="H217" s="74" t="s">
        <v>177</v>
      </c>
      <c r="I217" s="73" t="s">
        <v>178</v>
      </c>
      <c r="J217" s="73" t="s">
        <v>175</v>
      </c>
      <c r="K217" s="61" t="s">
        <v>70</v>
      </c>
      <c r="L217" s="61"/>
      <c r="M217" s="75" t="n">
        <v>46463</v>
      </c>
      <c r="N217" s="75"/>
      <c r="O217" s="75"/>
      <c r="P217" s="75"/>
      <c r="Q217" s="76" t="str">
        <f aca="false">IF(AND(M217="",N217="",O217="",P217=""),"COMPLETAR",IF(P217&lt;&gt;"",IF(O217="","Finalizado",IF(P217&lt;O217,"Finalizado anticipado",IF(P217=O217,"Finalizado","Finalizado con desfase"))),IF(N217&lt;&gt;"",IF(O217="","No planificado",IF(O217&lt;='Tablas y Glosario'!$F$1,"Atrasado",IF(M217="","En curso",IF(N217&gt;M217,"Inicio retrasado",IF(N217&lt;M217,"Inicio anticipado","En curso"))))),IF(M217="","COMPLETAR",IF('Tablas y Glosario'!$F$1&gt;=M217,"No iniciado","Programado")))))</f>
        <v>Programado</v>
      </c>
    </row>
    <row r="218" customFormat="false" ht="46.25" hidden="false" customHeight="false" outlineLevel="0" collapsed="false">
      <c r="A218" s="67"/>
      <c r="B218" s="68" t="s">
        <v>65</v>
      </c>
      <c r="C218" s="67" t="s">
        <v>156</v>
      </c>
      <c r="D218" s="68" t="s">
        <v>75</v>
      </c>
      <c r="E218" s="69" t="s">
        <v>171</v>
      </c>
      <c r="F218" s="69" t="s">
        <v>176</v>
      </c>
      <c r="G218" s="67" t="s">
        <v>93</v>
      </c>
      <c r="H218" s="70" t="s">
        <v>179</v>
      </c>
      <c r="I218" s="69" t="s">
        <v>180</v>
      </c>
      <c r="J218" s="69" t="s">
        <v>181</v>
      </c>
      <c r="K218" s="67" t="s">
        <v>70</v>
      </c>
      <c r="L218" s="67"/>
      <c r="M218" s="71" t="n">
        <v>46464</v>
      </c>
      <c r="N218" s="71"/>
      <c r="O218" s="71"/>
      <c r="P218" s="71"/>
      <c r="Q218" s="72" t="str">
        <f aca="false">IF(AND(M218="",N218="",O218="",P218=""),"COMPLETAR",IF(P218&lt;&gt;"",IF(O218="","Finalizado",IF(P218&lt;O218,"Finalizado anticipado",IF(P218=O218,"Finalizado","Finalizado con desfase"))),IF(N218&lt;&gt;"",IF(O218="","No planificado",IF(O218&lt;='Tablas y Glosario'!$F$1,"Atrasado",IF(M218="","En curso",IF(N218&gt;M218,"Inicio retrasado",IF(N218&lt;M218,"Inicio anticipado","En curso"))))),IF(M218="","COMPLETAR",IF('Tablas y Glosario'!$F$1&gt;=M218,"No iniciado","Programado")))))</f>
        <v>Programado</v>
      </c>
    </row>
    <row r="219" customFormat="false" ht="46.25" hidden="false" customHeight="false" outlineLevel="0" collapsed="false">
      <c r="A219" s="61"/>
      <c r="B219" s="60" t="s">
        <v>65</v>
      </c>
      <c r="C219" s="61" t="s">
        <v>156</v>
      </c>
      <c r="D219" s="60" t="s">
        <v>75</v>
      </c>
      <c r="E219" s="73" t="s">
        <v>171</v>
      </c>
      <c r="F219" s="73" t="s">
        <v>176</v>
      </c>
      <c r="G219" s="61" t="s">
        <v>94</v>
      </c>
      <c r="H219" s="74" t="s">
        <v>182</v>
      </c>
      <c r="I219" s="73" t="s">
        <v>183</v>
      </c>
      <c r="J219" s="73" t="s">
        <v>184</v>
      </c>
      <c r="K219" s="61" t="s">
        <v>70</v>
      </c>
      <c r="L219" s="61"/>
      <c r="M219" s="75" t="n">
        <v>46465</v>
      </c>
      <c r="N219" s="75"/>
      <c r="O219" s="75"/>
      <c r="P219" s="75"/>
      <c r="Q219" s="76" t="str">
        <f aca="false">IF(AND(M219="",N219="",O219="",P219=""),"COMPLETAR",IF(P219&lt;&gt;"",IF(O219="","Finalizado",IF(P219&lt;O219,"Finalizado anticipado",IF(P219=O219,"Finalizado","Finalizado con desfase"))),IF(N219&lt;&gt;"",IF(O219="","No planificado",IF(O219&lt;='Tablas y Glosario'!$F$1,"Atrasado",IF(M219="","En curso",IF(N219&gt;M219,"Inicio retrasado",IF(N219&lt;M219,"Inicio anticipado","En curso"))))),IF(M219="","COMPLETAR",IF('Tablas y Glosario'!$F$1&gt;=M219,"No iniciado","Programado")))))</f>
        <v>Programado</v>
      </c>
    </row>
    <row r="220" customFormat="false" ht="46.25" hidden="false" customHeight="false" outlineLevel="0" collapsed="false">
      <c r="A220" s="67"/>
      <c r="B220" s="68" t="s">
        <v>65</v>
      </c>
      <c r="C220" s="67" t="s">
        <v>156</v>
      </c>
      <c r="D220" s="68" t="s">
        <v>75</v>
      </c>
      <c r="E220" s="69" t="s">
        <v>171</v>
      </c>
      <c r="F220" s="69" t="s">
        <v>176</v>
      </c>
      <c r="G220" s="67" t="s">
        <v>95</v>
      </c>
      <c r="H220" s="70" t="s">
        <v>185</v>
      </c>
      <c r="I220" s="69" t="s">
        <v>186</v>
      </c>
      <c r="J220" s="69" t="s">
        <v>187</v>
      </c>
      <c r="K220" s="67" t="s">
        <v>70</v>
      </c>
      <c r="L220" s="67"/>
      <c r="M220" s="71" t="n">
        <v>46466</v>
      </c>
      <c r="N220" s="71"/>
      <c r="O220" s="71"/>
      <c r="P220" s="71"/>
      <c r="Q220" s="72" t="str">
        <f aca="false">IF(AND(M220="",N220="",O220="",P220=""),"COMPLETAR",IF(P220&lt;&gt;"",IF(O220="","Finalizado",IF(P220&lt;O220,"Finalizado anticipado",IF(P220=O220,"Finalizado","Finalizado con desfase"))),IF(N220&lt;&gt;"",IF(O220="","No planificado",IF(O220&lt;='Tablas y Glosario'!$F$1,"Atrasado",IF(M220="","En curso",IF(N220&gt;M220,"Inicio retrasado",IF(N220&lt;M220,"Inicio anticipado","En curso"))))),IF(M220="","COMPLETAR",IF('Tablas y Glosario'!$F$1&gt;=M220,"No iniciado","Programado")))))</f>
        <v>Programado</v>
      </c>
    </row>
    <row r="221" customFormat="false" ht="35.05" hidden="false" customHeight="false" outlineLevel="0" collapsed="false">
      <c r="A221" s="61"/>
      <c r="B221" s="60" t="s">
        <v>65</v>
      </c>
      <c r="C221" s="61" t="s">
        <v>156</v>
      </c>
      <c r="D221" s="60" t="s">
        <v>76</v>
      </c>
      <c r="E221" s="73" t="s">
        <v>188</v>
      </c>
      <c r="F221" s="73" t="s">
        <v>189</v>
      </c>
      <c r="G221" s="61" t="s">
        <v>96</v>
      </c>
      <c r="H221" s="74" t="s">
        <v>190</v>
      </c>
      <c r="I221" s="73" t="s">
        <v>191</v>
      </c>
      <c r="J221" s="73" t="s">
        <v>192</v>
      </c>
      <c r="K221" s="61" t="s">
        <v>71</v>
      </c>
      <c r="L221" s="61"/>
      <c r="M221" s="75" t="n">
        <v>46467</v>
      </c>
      <c r="N221" s="75"/>
      <c r="O221" s="75"/>
      <c r="P221" s="75"/>
      <c r="Q221" s="76" t="str">
        <f aca="false">IF(AND(M221="",N221="",O221="",P221=""),"COMPLETAR",IF(P221&lt;&gt;"",IF(O221="","Finalizado",IF(P221&lt;O221,"Finalizado anticipado",IF(P221=O221,"Finalizado","Finalizado con desfase"))),IF(N221&lt;&gt;"",IF(O221="","No planificado",IF(O221&lt;='Tablas y Glosario'!$F$1,"Atrasado",IF(M221="","En curso",IF(N221&gt;M221,"Inicio retrasado",IF(N221&lt;M221,"Inicio anticipado","En curso"))))),IF(M221="","COMPLETAR",IF('Tablas y Glosario'!$F$1&gt;=M221,"No iniciado","Programado")))))</f>
        <v>Programado</v>
      </c>
    </row>
    <row r="222" customFormat="false" ht="35.05" hidden="false" customHeight="false" outlineLevel="0" collapsed="false">
      <c r="A222" s="67"/>
      <c r="B222" s="68" t="s">
        <v>65</v>
      </c>
      <c r="C222" s="67" t="s">
        <v>156</v>
      </c>
      <c r="D222" s="68" t="s">
        <v>76</v>
      </c>
      <c r="E222" s="69" t="s">
        <v>188</v>
      </c>
      <c r="F222" s="69" t="s">
        <v>189</v>
      </c>
      <c r="G222" s="67" t="s">
        <v>97</v>
      </c>
      <c r="H222" s="70" t="s">
        <v>193</v>
      </c>
      <c r="I222" s="69" t="s">
        <v>110</v>
      </c>
      <c r="J222" s="69" t="s">
        <v>192</v>
      </c>
      <c r="K222" s="67" t="s">
        <v>70</v>
      </c>
      <c r="L222" s="67"/>
      <c r="M222" s="71" t="n">
        <v>46468</v>
      </c>
      <c r="N222" s="71"/>
      <c r="O222" s="71"/>
      <c r="P222" s="71"/>
      <c r="Q222" s="72" t="str">
        <f aca="false">IF(AND(M222="",N222="",O222="",P222=""),"COMPLETAR",IF(P222&lt;&gt;"",IF(O222="","Finalizado",IF(P222&lt;O222,"Finalizado anticipado",IF(P222=O222,"Finalizado","Finalizado con desfase"))),IF(N222&lt;&gt;"",IF(O222="","No planificado",IF(O222&lt;='Tablas y Glosario'!$F$1,"Atrasado",IF(M222="","En curso",IF(N222&gt;M222,"Inicio retrasado",IF(N222&lt;M222,"Inicio anticipado","En curso"))))),IF(M222="","COMPLETAR",IF('Tablas y Glosario'!$F$1&gt;=M222,"No iniciado","Programado")))))</f>
        <v>Programado</v>
      </c>
    </row>
    <row r="223" customFormat="false" ht="35.05" hidden="false" customHeight="false" outlineLevel="0" collapsed="false">
      <c r="A223" s="61"/>
      <c r="B223" s="60" t="s">
        <v>65</v>
      </c>
      <c r="C223" s="61" t="s">
        <v>156</v>
      </c>
      <c r="D223" s="60" t="s">
        <v>76</v>
      </c>
      <c r="E223" s="73" t="s">
        <v>188</v>
      </c>
      <c r="F223" s="73" t="s">
        <v>189</v>
      </c>
      <c r="G223" s="61" t="s">
        <v>98</v>
      </c>
      <c r="H223" s="74" t="s">
        <v>194</v>
      </c>
      <c r="I223" s="73" t="s">
        <v>195</v>
      </c>
      <c r="J223" s="73" t="s">
        <v>196</v>
      </c>
      <c r="K223" s="61" t="s">
        <v>71</v>
      </c>
      <c r="L223" s="61"/>
      <c r="M223" s="75" t="n">
        <v>46469</v>
      </c>
      <c r="N223" s="75"/>
      <c r="O223" s="75"/>
      <c r="P223" s="75"/>
      <c r="Q223" s="76" t="str">
        <f aca="false">IF(AND(M223="",N223="",O223="",P223=""),"COMPLETAR",IF(P223&lt;&gt;"",IF(O223="","Finalizado",IF(P223&lt;O223,"Finalizado anticipado",IF(P223=O223,"Finalizado","Finalizado con desfase"))),IF(N223&lt;&gt;"",IF(O223="","No planificado",IF(O223&lt;='Tablas y Glosario'!$F$1,"Atrasado",IF(M223="","En curso",IF(N223&gt;M223,"Inicio retrasado",IF(N223&lt;M223,"Inicio anticipado","En curso"))))),IF(M223="","COMPLETAR",IF('Tablas y Glosario'!$F$1&gt;=M223,"No iniciado","Programado")))))</f>
        <v>Programado</v>
      </c>
    </row>
    <row r="224" customFormat="false" ht="35.05" hidden="false" customHeight="false" outlineLevel="0" collapsed="false">
      <c r="A224" s="67"/>
      <c r="B224" s="68" t="s">
        <v>65</v>
      </c>
      <c r="C224" s="67" t="s">
        <v>156</v>
      </c>
      <c r="D224" s="68" t="s">
        <v>76</v>
      </c>
      <c r="E224" s="69" t="s">
        <v>188</v>
      </c>
      <c r="F224" s="69" t="s">
        <v>189</v>
      </c>
      <c r="G224" s="67" t="s">
        <v>99</v>
      </c>
      <c r="H224" s="70" t="s">
        <v>197</v>
      </c>
      <c r="I224" s="69" t="s">
        <v>110</v>
      </c>
      <c r="J224" s="69" t="s">
        <v>196</v>
      </c>
      <c r="K224" s="67" t="s">
        <v>70</v>
      </c>
      <c r="L224" s="67"/>
      <c r="M224" s="71" t="n">
        <v>46470</v>
      </c>
      <c r="N224" s="71"/>
      <c r="O224" s="71"/>
      <c r="P224" s="71"/>
      <c r="Q224" s="72" t="str">
        <f aca="false">IF(AND(M224="",N224="",O224="",P224=""),"COMPLETAR",IF(P224&lt;&gt;"",IF(O224="","Finalizado",IF(P224&lt;O224,"Finalizado anticipado",IF(P224=O224,"Finalizado","Finalizado con desfase"))),IF(N224&lt;&gt;"",IF(O224="","No planificado",IF(O224&lt;='Tablas y Glosario'!$F$1,"Atrasado",IF(M224="","En curso",IF(N224&gt;M224,"Inicio retrasado",IF(N224&lt;M224,"Inicio anticipado","En curso"))))),IF(M224="","COMPLETAR",IF('Tablas y Glosario'!$F$1&gt;=M224,"No iniciado","Programado")))))</f>
        <v>Programado</v>
      </c>
    </row>
    <row r="225" customFormat="false" ht="35.05" hidden="false" customHeight="false" outlineLevel="0" collapsed="false">
      <c r="A225" s="61"/>
      <c r="B225" s="60" t="s">
        <v>65</v>
      </c>
      <c r="C225" s="61" t="s">
        <v>156</v>
      </c>
      <c r="D225" s="60" t="s">
        <v>77</v>
      </c>
      <c r="E225" s="73" t="s">
        <v>198</v>
      </c>
      <c r="F225" s="73" t="s">
        <v>199</v>
      </c>
      <c r="G225" s="61" t="s">
        <v>100</v>
      </c>
      <c r="H225" s="74" t="s">
        <v>200</v>
      </c>
      <c r="I225" s="73" t="s">
        <v>201</v>
      </c>
      <c r="J225" s="73" t="s">
        <v>202</v>
      </c>
      <c r="K225" s="61" t="s">
        <v>70</v>
      </c>
      <c r="L225" s="61"/>
      <c r="M225" s="75" t="n">
        <v>46471</v>
      </c>
      <c r="N225" s="75"/>
      <c r="O225" s="75"/>
      <c r="P225" s="75"/>
      <c r="Q225" s="76" t="str">
        <f aca="false">IF(AND(M225="",N225="",O225="",P225=""),"COMPLETAR",IF(P225&lt;&gt;"",IF(O225="","Finalizado",IF(P225&lt;O225,"Finalizado anticipado",IF(P225=O225,"Finalizado","Finalizado con desfase"))),IF(N225&lt;&gt;"",IF(O225="","No planificado",IF(O225&lt;='Tablas y Glosario'!$F$1,"Atrasado",IF(M225="","En curso",IF(N225&gt;M225,"Inicio retrasado",IF(N225&lt;M225,"Inicio anticipado","En curso"))))),IF(M225="","COMPLETAR",IF('Tablas y Glosario'!$F$1&gt;=M225,"No iniciado","Programado")))))</f>
        <v>Programado</v>
      </c>
    </row>
    <row r="226" customFormat="false" ht="23.85" hidden="false" customHeight="false" outlineLevel="0" collapsed="false">
      <c r="A226" s="67"/>
      <c r="B226" s="68" t="s">
        <v>65</v>
      </c>
      <c r="C226" s="67" t="s">
        <v>156</v>
      </c>
      <c r="D226" s="68" t="s">
        <v>78</v>
      </c>
      <c r="E226" s="69" t="s">
        <v>203</v>
      </c>
      <c r="F226" s="69" t="s">
        <v>204</v>
      </c>
      <c r="G226" s="67" t="s">
        <v>101</v>
      </c>
      <c r="H226" s="70" t="s">
        <v>205</v>
      </c>
      <c r="I226" s="69" t="s">
        <v>206</v>
      </c>
      <c r="J226" s="69" t="s">
        <v>207</v>
      </c>
      <c r="K226" s="67" t="s">
        <v>71</v>
      </c>
      <c r="L226" s="67"/>
      <c r="M226" s="71" t="n">
        <v>46472</v>
      </c>
      <c r="N226" s="71"/>
      <c r="O226" s="71"/>
      <c r="P226" s="71"/>
      <c r="Q226" s="72" t="str">
        <f aca="false">IF(AND(M226="",N226="",O226="",P226=""),"COMPLETAR",IF(P226&lt;&gt;"",IF(O226="","Finalizado",IF(P226&lt;O226,"Finalizado anticipado",IF(P226=O226,"Finalizado","Finalizado con desfase"))),IF(N226&lt;&gt;"",IF(O226="","No planificado",IF(O226&lt;='Tablas y Glosario'!$F$1,"Atrasado",IF(M226="","En curso",IF(N226&gt;M226,"Inicio retrasado",IF(N226&lt;M226,"Inicio anticipado","En curso"))))),IF(M226="","COMPLETAR",IF('Tablas y Glosario'!$F$1&gt;=M226,"No iniciado","Programado")))))</f>
        <v>Programado</v>
      </c>
    </row>
    <row r="227" customFormat="false" ht="23.85" hidden="false" customHeight="false" outlineLevel="0" collapsed="false">
      <c r="A227" s="61"/>
      <c r="B227" s="60" t="s">
        <v>65</v>
      </c>
      <c r="C227" s="61" t="s">
        <v>156</v>
      </c>
      <c r="D227" s="60" t="s">
        <v>78</v>
      </c>
      <c r="E227" s="73" t="s">
        <v>203</v>
      </c>
      <c r="F227" s="73" t="s">
        <v>204</v>
      </c>
      <c r="G227" s="61" t="s">
        <v>102</v>
      </c>
      <c r="H227" s="74" t="s">
        <v>208</v>
      </c>
      <c r="I227" s="73" t="s">
        <v>209</v>
      </c>
      <c r="J227" s="73" t="s">
        <v>210</v>
      </c>
      <c r="K227" s="61" t="s">
        <v>71</v>
      </c>
      <c r="L227" s="61"/>
      <c r="M227" s="75" t="n">
        <v>46473</v>
      </c>
      <c r="N227" s="75"/>
      <c r="O227" s="75"/>
      <c r="P227" s="75"/>
      <c r="Q227" s="76" t="str">
        <f aca="false">IF(AND(M227="",N227="",O227="",P227=""),"COMPLETAR",IF(P227&lt;&gt;"",IF(O227="","Finalizado",IF(P227&lt;O227,"Finalizado anticipado",IF(P227=O227,"Finalizado","Finalizado con desfase"))),IF(N227&lt;&gt;"",IF(O227="","No planificado",IF(O227&lt;='Tablas y Glosario'!$F$1,"Atrasado",IF(M227="","En curso",IF(N227&gt;M227,"Inicio retrasado",IF(N227&lt;M227,"Inicio anticipado","En curso"))))),IF(M227="","COMPLETAR",IF('Tablas y Glosario'!$F$1&gt;=M227,"No iniciado","Programado")))))</f>
        <v>Programado</v>
      </c>
    </row>
    <row r="228" customFormat="false" ht="23.85" hidden="false" customHeight="false" outlineLevel="0" collapsed="false">
      <c r="A228" s="67"/>
      <c r="B228" s="68" t="s">
        <v>65</v>
      </c>
      <c r="C228" s="67" t="s">
        <v>156</v>
      </c>
      <c r="D228" s="68" t="s">
        <v>78</v>
      </c>
      <c r="E228" s="69" t="s">
        <v>203</v>
      </c>
      <c r="F228" s="69" t="s">
        <v>204</v>
      </c>
      <c r="G228" s="67" t="s">
        <v>103</v>
      </c>
      <c r="H228" s="70" t="s">
        <v>211</v>
      </c>
      <c r="I228" s="69" t="s">
        <v>212</v>
      </c>
      <c r="J228" s="69" t="s">
        <v>213</v>
      </c>
      <c r="K228" s="67" t="s">
        <v>71</v>
      </c>
      <c r="L228" s="67"/>
      <c r="M228" s="71" t="n">
        <v>46474</v>
      </c>
      <c r="N228" s="71"/>
      <c r="O228" s="71"/>
      <c r="P228" s="71"/>
      <c r="Q228" s="72" t="str">
        <f aca="false">IF(AND(M228="",N228="",O228="",P228=""),"COMPLETAR",IF(P228&lt;&gt;"",IF(O228="","Finalizado",IF(P228&lt;O228,"Finalizado anticipado",IF(P228=O228,"Finalizado","Finalizado con desfase"))),IF(N228&lt;&gt;"",IF(O228="","No planificado",IF(O228&lt;='Tablas y Glosario'!$F$1,"Atrasado",IF(M228="","En curso",IF(N228&gt;M228,"Inicio retrasado",IF(N228&lt;M228,"Inicio anticipado","En curso"))))),IF(M228="","COMPLETAR",IF('Tablas y Glosario'!$F$1&gt;=M228,"No iniciado","Programado")))))</f>
        <v>Programado</v>
      </c>
    </row>
    <row r="229" customFormat="false" ht="23.85" hidden="false" customHeight="false" outlineLevel="0" collapsed="false">
      <c r="A229" s="61"/>
      <c r="B229" s="60" t="s">
        <v>65</v>
      </c>
      <c r="C229" s="61" t="s">
        <v>156</v>
      </c>
      <c r="D229" s="60" t="s">
        <v>78</v>
      </c>
      <c r="E229" s="73" t="s">
        <v>203</v>
      </c>
      <c r="F229" s="73" t="s">
        <v>204</v>
      </c>
      <c r="G229" s="61" t="s">
        <v>104</v>
      </c>
      <c r="H229" s="74" t="s">
        <v>214</v>
      </c>
      <c r="I229" s="73" t="s">
        <v>215</v>
      </c>
      <c r="J229" s="73" t="s">
        <v>216</v>
      </c>
      <c r="K229" s="61" t="s">
        <v>71</v>
      </c>
      <c r="L229" s="61"/>
      <c r="M229" s="75" t="n">
        <v>46475</v>
      </c>
      <c r="N229" s="75"/>
      <c r="O229" s="75"/>
      <c r="P229" s="75"/>
      <c r="Q229" s="76" t="str">
        <f aca="false">IF(AND(M229="",N229="",O229="",P229=""),"COMPLETAR",IF(P229&lt;&gt;"",IF(O229="","Finalizado",IF(P229&lt;O229,"Finalizado anticipado",IF(P229=O229,"Finalizado","Finalizado con desfase"))),IF(N229&lt;&gt;"",IF(O229="","No planificado",IF(O229&lt;='Tablas y Glosario'!$F$1,"Atrasado",IF(M229="","En curso",IF(N229&gt;M229,"Inicio retrasado",IF(N229&lt;M229,"Inicio anticipado","En curso"))))),IF(M229="","COMPLETAR",IF('Tablas y Glosario'!$F$1&gt;=M229,"No iniciado","Programado")))))</f>
        <v>Programado</v>
      </c>
    </row>
    <row r="230" customFormat="false" ht="35.05" hidden="false" customHeight="false" outlineLevel="0" collapsed="false">
      <c r="A230" s="67"/>
      <c r="B230" s="68" t="s">
        <v>65</v>
      </c>
      <c r="C230" s="67" t="s">
        <v>156</v>
      </c>
      <c r="D230" s="68" t="s">
        <v>79</v>
      </c>
      <c r="E230" s="69" t="s">
        <v>217</v>
      </c>
      <c r="F230" s="69" t="s">
        <v>218</v>
      </c>
      <c r="G230" s="67" t="s">
        <v>105</v>
      </c>
      <c r="H230" s="70" t="s">
        <v>219</v>
      </c>
      <c r="I230" s="69" t="s">
        <v>220</v>
      </c>
      <c r="J230" s="69" t="s">
        <v>221</v>
      </c>
      <c r="K230" s="67" t="s">
        <v>70</v>
      </c>
      <c r="L230" s="67"/>
      <c r="M230" s="71" t="n">
        <v>46476</v>
      </c>
      <c r="N230" s="71"/>
      <c r="O230" s="71"/>
      <c r="P230" s="71"/>
      <c r="Q230" s="72" t="str">
        <f aca="false">IF(AND(M230="",N230="",O230="",P230=""),"COMPLETAR",IF(P230&lt;&gt;"",IF(O230="","Finalizado",IF(P230&lt;O230,"Finalizado anticipado",IF(P230=O230,"Finalizado","Finalizado con desfase"))),IF(N230&lt;&gt;"",IF(O230="","No planificado",IF(O230&lt;='Tablas y Glosario'!$F$1,"Atrasado",IF(M230="","En curso",IF(N230&gt;M230,"Inicio retrasado",IF(N230&lt;M230,"Inicio anticipado","En curso"))))),IF(M230="","COMPLETAR",IF('Tablas y Glosario'!$F$1&gt;=M230,"No iniciado","Programado")))))</f>
        <v>Programado</v>
      </c>
    </row>
    <row r="231" customFormat="false" ht="35.05" hidden="false" customHeight="false" outlineLevel="0" collapsed="false">
      <c r="A231" s="61"/>
      <c r="B231" s="60" t="s">
        <v>65</v>
      </c>
      <c r="C231" s="61" t="s">
        <v>156</v>
      </c>
      <c r="D231" s="60" t="s">
        <v>79</v>
      </c>
      <c r="E231" s="73" t="s">
        <v>217</v>
      </c>
      <c r="F231" s="73" t="s">
        <v>218</v>
      </c>
      <c r="G231" s="61" t="s">
        <v>106</v>
      </c>
      <c r="H231" s="74" t="s">
        <v>222</v>
      </c>
      <c r="I231" s="73" t="s">
        <v>223</v>
      </c>
      <c r="J231" s="73" t="s">
        <v>224</v>
      </c>
      <c r="K231" s="61" t="s">
        <v>70</v>
      </c>
      <c r="L231" s="61"/>
      <c r="M231" s="75" t="n">
        <v>46477</v>
      </c>
      <c r="N231" s="75"/>
      <c r="O231" s="75"/>
      <c r="P231" s="75"/>
      <c r="Q231" s="76" t="str">
        <f aca="false">IF(AND(M231="",N231="",O231="",P231=""),"COMPLETAR",IF(P231&lt;&gt;"",IF(O231="","Finalizado",IF(P231&lt;O231,"Finalizado anticipado",IF(P231=O231,"Finalizado","Finalizado con desfase"))),IF(N231&lt;&gt;"",IF(O231="","No planificado",IF(O231&lt;='Tablas y Glosario'!$F$1,"Atrasado",IF(M231="","En curso",IF(N231&gt;M231,"Inicio retrasado",IF(N231&lt;M231,"Inicio anticipado","En curso"))))),IF(M231="","COMPLETAR",IF('Tablas y Glosario'!$F$1&gt;=M231,"No iniciado","Programado")))))</f>
        <v>Programado</v>
      </c>
    </row>
    <row r="232" customFormat="false" ht="35.05" hidden="false" customHeight="false" outlineLevel="0" collapsed="false">
      <c r="A232" s="67"/>
      <c r="B232" s="68" t="s">
        <v>65</v>
      </c>
      <c r="C232" s="67" t="s">
        <v>156</v>
      </c>
      <c r="D232" s="68" t="s">
        <v>79</v>
      </c>
      <c r="E232" s="69" t="s">
        <v>217</v>
      </c>
      <c r="F232" s="69" t="s">
        <v>218</v>
      </c>
      <c r="G232" s="67" t="s">
        <v>107</v>
      </c>
      <c r="H232" s="70" t="s">
        <v>225</v>
      </c>
      <c r="I232" s="69" t="s">
        <v>226</v>
      </c>
      <c r="J232" s="69" t="s">
        <v>227</v>
      </c>
      <c r="K232" s="67" t="s">
        <v>71</v>
      </c>
      <c r="L232" s="67"/>
      <c r="M232" s="71" t="n">
        <v>46478</v>
      </c>
      <c r="N232" s="71"/>
      <c r="O232" s="71"/>
      <c r="P232" s="71"/>
      <c r="Q232" s="72" t="str">
        <f aca="false">IF(AND(M232="",N232="",O232="",P232=""),"COMPLETAR",IF(P232&lt;&gt;"",IF(O232="","Finalizado",IF(P232&lt;O232,"Finalizado anticipado",IF(P232=O232,"Finalizado","Finalizado con desfase"))),IF(N232&lt;&gt;"",IF(O232="","No planificado",IF(O232&lt;='Tablas y Glosario'!$F$1,"Atrasado",IF(M232="","En curso",IF(N232&gt;M232,"Inicio retrasado",IF(N232&lt;M232,"Inicio anticipado","En curso"))))),IF(M232="","COMPLETAR",IF('Tablas y Glosario'!$F$1&gt;=M232,"No iniciado","Programado")))))</f>
        <v>Programado</v>
      </c>
    </row>
    <row r="233" customFormat="false" ht="35.05" hidden="false" customHeight="false" outlineLevel="0" collapsed="false">
      <c r="A233" s="61"/>
      <c r="B233" s="60" t="s">
        <v>65</v>
      </c>
      <c r="C233" s="61" t="s">
        <v>156</v>
      </c>
      <c r="D233" s="60" t="s">
        <v>79</v>
      </c>
      <c r="E233" s="73" t="s">
        <v>217</v>
      </c>
      <c r="F233" s="73" t="s">
        <v>218</v>
      </c>
      <c r="G233" s="61" t="s">
        <v>108</v>
      </c>
      <c r="H233" s="74" t="s">
        <v>228</v>
      </c>
      <c r="I233" s="73" t="s">
        <v>229</v>
      </c>
      <c r="J233" s="73" t="s">
        <v>230</v>
      </c>
      <c r="K233" s="61" t="s">
        <v>71</v>
      </c>
      <c r="L233" s="61"/>
      <c r="M233" s="75" t="n">
        <v>46479</v>
      </c>
      <c r="N233" s="75"/>
      <c r="O233" s="75"/>
      <c r="P233" s="75"/>
      <c r="Q233" s="76" t="str">
        <f aca="false">IF(AND(M233="",N233="",O233="",P233=""),"COMPLETAR",IF(P233&lt;&gt;"",IF(O233="","Finalizado",IF(P233&lt;O233,"Finalizado anticipado",IF(P233=O233,"Finalizado","Finalizado con desfase"))),IF(N233&lt;&gt;"",IF(O233="","No planificado",IF(O233&lt;='Tablas y Glosario'!$F$1,"Atrasado",IF(M233="","En curso",IF(N233&gt;M233,"Inicio retrasado",IF(N233&lt;M233,"Inicio anticipado","En curso"))))),IF(M233="","COMPLETAR",IF('Tablas y Glosario'!$F$1&gt;=M233,"No iniciado","Programado")))))</f>
        <v>Programado</v>
      </c>
    </row>
    <row r="234" customFormat="false" ht="35.05" hidden="false" customHeight="false" outlineLevel="0" collapsed="false">
      <c r="A234" s="67"/>
      <c r="B234" s="68" t="s">
        <v>65</v>
      </c>
      <c r="C234" s="67" t="s">
        <v>156</v>
      </c>
      <c r="D234" s="68" t="s">
        <v>79</v>
      </c>
      <c r="E234" s="69" t="s">
        <v>217</v>
      </c>
      <c r="F234" s="69" t="s">
        <v>218</v>
      </c>
      <c r="G234" s="67" t="s">
        <v>109</v>
      </c>
      <c r="H234" s="70" t="s">
        <v>222</v>
      </c>
      <c r="I234" s="69" t="s">
        <v>231</v>
      </c>
      <c r="J234" s="69" t="s">
        <v>232</v>
      </c>
      <c r="K234" s="67" t="s">
        <v>70</v>
      </c>
      <c r="L234" s="67"/>
      <c r="M234" s="71" t="n">
        <v>46480</v>
      </c>
      <c r="N234" s="71"/>
      <c r="O234" s="71"/>
      <c r="P234" s="71"/>
      <c r="Q234" s="72" t="str">
        <f aca="false">IF(AND(M234="",N234="",O234="",P234=""),"COMPLETAR",IF(P234&lt;&gt;"",IF(O234="","Finalizado",IF(P234&lt;O234,"Finalizado anticipado",IF(P234=O234,"Finalizado","Finalizado con desfase"))),IF(N234&lt;&gt;"",IF(O234="","No planificado",IF(O234&lt;='Tablas y Glosario'!$F$1,"Atrasado",IF(M234="","En curso",IF(N234&gt;M234,"Inicio retrasado",IF(N234&lt;M234,"Inicio anticipado","En curso"))))),IF(M234="","COMPLETAR",IF('Tablas y Glosario'!$F$1&gt;=M234,"No iniciado","Programado")))))</f>
        <v>Programado</v>
      </c>
    </row>
    <row r="235" customFormat="false" ht="35.05" hidden="false" customHeight="false" outlineLevel="0" collapsed="false">
      <c r="A235" s="61"/>
      <c r="B235" s="60" t="s">
        <v>65</v>
      </c>
      <c r="C235" s="61" t="s">
        <v>156</v>
      </c>
      <c r="D235" s="60" t="s">
        <v>79</v>
      </c>
      <c r="E235" s="73" t="s">
        <v>217</v>
      </c>
      <c r="F235" s="73" t="s">
        <v>218</v>
      </c>
      <c r="G235" s="61" t="s">
        <v>110</v>
      </c>
      <c r="H235" s="74" t="s">
        <v>233</v>
      </c>
      <c r="I235" s="73" t="s">
        <v>234</v>
      </c>
      <c r="J235" s="73" t="s">
        <v>235</v>
      </c>
      <c r="K235" s="61" t="s">
        <v>70</v>
      </c>
      <c r="L235" s="61"/>
      <c r="M235" s="75" t="n">
        <v>46481</v>
      </c>
      <c r="N235" s="75"/>
      <c r="O235" s="75"/>
      <c r="P235" s="75"/>
      <c r="Q235" s="76" t="str">
        <f aca="false">IF(AND(M235="",N235="",O235="",P235=""),"COMPLETAR",IF(P235&lt;&gt;"",IF(O235="","Finalizado",IF(P235&lt;O235,"Finalizado anticipado",IF(P235=O235,"Finalizado","Finalizado con desfase"))),IF(N235&lt;&gt;"",IF(O235="","No planificado",IF(O235&lt;='Tablas y Glosario'!$F$1,"Atrasado",IF(M235="","En curso",IF(N235&gt;M235,"Inicio retrasado",IF(N235&lt;M235,"Inicio anticipado","En curso"))))),IF(M235="","COMPLETAR",IF('Tablas y Glosario'!$F$1&gt;=M235,"No iniciado","Programado")))))</f>
        <v>Programado</v>
      </c>
    </row>
    <row r="236" customFormat="false" ht="35.05" hidden="false" customHeight="false" outlineLevel="0" collapsed="false">
      <c r="A236" s="67"/>
      <c r="B236" s="68" t="s">
        <v>65</v>
      </c>
      <c r="C236" s="67" t="s">
        <v>156</v>
      </c>
      <c r="D236" s="68" t="s">
        <v>80</v>
      </c>
      <c r="E236" s="69" t="s">
        <v>236</v>
      </c>
      <c r="F236" s="69" t="s">
        <v>237</v>
      </c>
      <c r="G236" s="67" t="s">
        <v>111</v>
      </c>
      <c r="H236" s="70" t="s">
        <v>238</v>
      </c>
      <c r="I236" s="69" t="s">
        <v>239</v>
      </c>
      <c r="J236" s="69" t="s">
        <v>240</v>
      </c>
      <c r="K236" s="67" t="s">
        <v>70</v>
      </c>
      <c r="L236" s="67"/>
      <c r="M236" s="71" t="n">
        <v>46482</v>
      </c>
      <c r="N236" s="71"/>
      <c r="O236" s="71"/>
      <c r="P236" s="71"/>
      <c r="Q236" s="72" t="str">
        <f aca="false">IF(AND(M236="",N236="",O236="",P236=""),"COMPLETAR",IF(P236&lt;&gt;"",IF(O236="","Finalizado",IF(P236&lt;O236,"Finalizado anticipado",IF(P236=O236,"Finalizado","Finalizado con desfase"))),IF(N236&lt;&gt;"",IF(O236="","No planificado",IF(O236&lt;='Tablas y Glosario'!$F$1,"Atrasado",IF(M236="","En curso",IF(N236&gt;M236,"Inicio retrasado",IF(N236&lt;M236,"Inicio anticipado","En curso"))))),IF(M236="","COMPLETAR",IF('Tablas y Glosario'!$F$1&gt;=M236,"No iniciado","Programado")))))</f>
        <v>Programado</v>
      </c>
    </row>
    <row r="237" customFormat="false" ht="35.05" hidden="false" customHeight="false" outlineLevel="0" collapsed="false">
      <c r="A237" s="61"/>
      <c r="B237" s="60" t="s">
        <v>65</v>
      </c>
      <c r="C237" s="61" t="s">
        <v>156</v>
      </c>
      <c r="D237" s="60" t="s">
        <v>80</v>
      </c>
      <c r="E237" s="73" t="s">
        <v>236</v>
      </c>
      <c r="F237" s="73" t="s">
        <v>237</v>
      </c>
      <c r="G237" s="61" t="s">
        <v>112</v>
      </c>
      <c r="H237" s="74" t="s">
        <v>241</v>
      </c>
      <c r="I237" s="73" t="s">
        <v>242</v>
      </c>
      <c r="J237" s="73" t="s">
        <v>243</v>
      </c>
      <c r="K237" s="61" t="s">
        <v>71</v>
      </c>
      <c r="L237" s="61"/>
      <c r="M237" s="75" t="n">
        <v>46483</v>
      </c>
      <c r="N237" s="75"/>
      <c r="O237" s="75"/>
      <c r="P237" s="75"/>
      <c r="Q237" s="76" t="str">
        <f aca="false">IF(AND(M237="",N237="",O237="",P237=""),"COMPLETAR",IF(P237&lt;&gt;"",IF(O237="","Finalizado",IF(P237&lt;O237,"Finalizado anticipado",IF(P237=O237,"Finalizado","Finalizado con desfase"))),IF(N237&lt;&gt;"",IF(O237="","No planificado",IF(O237&lt;='Tablas y Glosario'!$F$1,"Atrasado",IF(M237="","En curso",IF(N237&gt;M237,"Inicio retrasado",IF(N237&lt;M237,"Inicio anticipado","En curso"))))),IF(M237="","COMPLETAR",IF('Tablas y Glosario'!$F$1&gt;=M237,"No iniciado","Programado")))))</f>
        <v>Programado</v>
      </c>
    </row>
    <row r="238" customFormat="false" ht="35.05" hidden="false" customHeight="false" outlineLevel="0" collapsed="false">
      <c r="A238" s="67"/>
      <c r="B238" s="68" t="s">
        <v>65</v>
      </c>
      <c r="C238" s="67" t="s">
        <v>156</v>
      </c>
      <c r="D238" s="68" t="s">
        <v>80</v>
      </c>
      <c r="E238" s="69" t="s">
        <v>236</v>
      </c>
      <c r="F238" s="69" t="s">
        <v>237</v>
      </c>
      <c r="G238" s="67" t="s">
        <v>113</v>
      </c>
      <c r="H238" s="70" t="s">
        <v>244</v>
      </c>
      <c r="I238" s="69" t="s">
        <v>245</v>
      </c>
      <c r="J238" s="69" t="s">
        <v>246</v>
      </c>
      <c r="K238" s="67" t="s">
        <v>71</v>
      </c>
      <c r="L238" s="67"/>
      <c r="M238" s="71" t="n">
        <v>46484</v>
      </c>
      <c r="N238" s="71"/>
      <c r="O238" s="71"/>
      <c r="P238" s="71"/>
      <c r="Q238" s="72" t="str">
        <f aca="false">IF(AND(M238="",N238="",O238="",P238=""),"COMPLETAR",IF(P238&lt;&gt;"",IF(O238="","Finalizado",IF(P238&lt;O238,"Finalizado anticipado",IF(P238=O238,"Finalizado","Finalizado con desfase"))),IF(N238&lt;&gt;"",IF(O238="","No planificado",IF(O238&lt;='Tablas y Glosario'!$F$1,"Atrasado",IF(M238="","En curso",IF(N238&gt;M238,"Inicio retrasado",IF(N238&lt;M238,"Inicio anticipado","En curso"))))),IF(M238="","COMPLETAR",IF('Tablas y Glosario'!$F$1&gt;=M238,"No iniciado","Programado")))))</f>
        <v>Programado</v>
      </c>
    </row>
    <row r="239" customFormat="false" ht="35.05" hidden="false" customHeight="false" outlineLevel="0" collapsed="false">
      <c r="A239" s="61"/>
      <c r="B239" s="60" t="s">
        <v>65</v>
      </c>
      <c r="C239" s="61" t="s">
        <v>156</v>
      </c>
      <c r="D239" s="60" t="s">
        <v>80</v>
      </c>
      <c r="E239" s="73" t="s">
        <v>236</v>
      </c>
      <c r="F239" s="73" t="s">
        <v>237</v>
      </c>
      <c r="G239" s="61" t="s">
        <v>103</v>
      </c>
      <c r="H239" s="74" t="s">
        <v>247</v>
      </c>
      <c r="I239" s="73" t="s">
        <v>248</v>
      </c>
      <c r="J239" s="73" t="s">
        <v>249</v>
      </c>
      <c r="K239" s="61" t="s">
        <v>71</v>
      </c>
      <c r="L239" s="61"/>
      <c r="M239" s="75" t="n">
        <v>46485</v>
      </c>
      <c r="N239" s="75"/>
      <c r="O239" s="75"/>
      <c r="P239" s="75"/>
      <c r="Q239" s="76" t="str">
        <f aca="false">IF(AND(M239="",N239="",O239="",P239=""),"COMPLETAR",IF(P239&lt;&gt;"",IF(O239="","Finalizado",IF(P239&lt;O239,"Finalizado anticipado",IF(P239=O239,"Finalizado","Finalizado con desfase"))),IF(N239&lt;&gt;"",IF(O239="","No planificado",IF(O239&lt;='Tablas y Glosario'!$F$1,"Atrasado",IF(M239="","En curso",IF(N239&gt;M239,"Inicio retrasado",IF(N239&lt;M239,"Inicio anticipado","En curso"))))),IF(M239="","COMPLETAR",IF('Tablas y Glosario'!$F$1&gt;=M239,"No iniciado","Programado")))))</f>
        <v>Programado</v>
      </c>
    </row>
    <row r="240" customFormat="false" ht="35.05" hidden="false" customHeight="false" outlineLevel="0" collapsed="false">
      <c r="A240" s="67"/>
      <c r="B240" s="68" t="s">
        <v>65</v>
      </c>
      <c r="C240" s="67" t="s">
        <v>156</v>
      </c>
      <c r="D240" s="68" t="s">
        <v>80</v>
      </c>
      <c r="E240" s="69" t="s">
        <v>236</v>
      </c>
      <c r="F240" s="69" t="s">
        <v>237</v>
      </c>
      <c r="G240" s="67" t="s">
        <v>114</v>
      </c>
      <c r="H240" s="70" t="s">
        <v>250</v>
      </c>
      <c r="I240" s="69" t="s">
        <v>251</v>
      </c>
      <c r="J240" s="69" t="s">
        <v>252</v>
      </c>
      <c r="K240" s="67" t="s">
        <v>70</v>
      </c>
      <c r="L240" s="67"/>
      <c r="M240" s="71" t="n">
        <v>46486</v>
      </c>
      <c r="N240" s="71"/>
      <c r="O240" s="71"/>
      <c r="P240" s="71"/>
      <c r="Q240" s="72" t="str">
        <f aca="false">IF(AND(M240="",N240="",O240="",P240=""),"COMPLETAR",IF(P240&lt;&gt;"",IF(O240="","Finalizado",IF(P240&lt;O240,"Finalizado anticipado",IF(P240=O240,"Finalizado","Finalizado con desfase"))),IF(N240&lt;&gt;"",IF(O240="","No planificado",IF(O240&lt;='Tablas y Glosario'!$F$1,"Atrasado",IF(M240="","En curso",IF(N240&gt;M240,"Inicio retrasado",IF(N240&lt;M240,"Inicio anticipado","En curso"))))),IF(M240="","COMPLETAR",IF('Tablas y Glosario'!$F$1&gt;=M240,"No iniciado","Programado")))))</f>
        <v>Programado</v>
      </c>
    </row>
    <row r="241" customFormat="false" ht="35.05" hidden="false" customHeight="false" outlineLevel="0" collapsed="false">
      <c r="A241" s="61"/>
      <c r="B241" s="60" t="s">
        <v>65</v>
      </c>
      <c r="C241" s="61" t="s">
        <v>156</v>
      </c>
      <c r="D241" s="60" t="s">
        <v>81</v>
      </c>
      <c r="E241" s="73" t="s">
        <v>253</v>
      </c>
      <c r="F241" s="73" t="s">
        <v>254</v>
      </c>
      <c r="G241" s="61" t="s">
        <v>115</v>
      </c>
      <c r="H241" s="74" t="s">
        <v>255</v>
      </c>
      <c r="I241" s="73" t="s">
        <v>256</v>
      </c>
      <c r="J241" s="73" t="s">
        <v>257</v>
      </c>
      <c r="K241" s="61" t="s">
        <v>71</v>
      </c>
      <c r="L241" s="61"/>
      <c r="M241" s="75" t="n">
        <v>46487</v>
      </c>
      <c r="N241" s="75"/>
      <c r="O241" s="75"/>
      <c r="P241" s="75"/>
      <c r="Q241" s="76" t="str">
        <f aca="false">IF(AND(M241="",N241="",O241="",P241=""),"COMPLETAR",IF(P241&lt;&gt;"",IF(O241="","Finalizado",IF(P241&lt;O241,"Finalizado anticipado",IF(P241=O241,"Finalizado","Finalizado con desfase"))),IF(N241&lt;&gt;"",IF(O241="","No planificado",IF(O241&lt;='Tablas y Glosario'!$F$1,"Atrasado",IF(M241="","En curso",IF(N241&gt;M241,"Inicio retrasado",IF(N241&lt;M241,"Inicio anticipado","En curso"))))),IF(M241="","COMPLETAR",IF('Tablas y Glosario'!$F$1&gt;=M241,"No iniciado","Programado")))))</f>
        <v>Programado</v>
      </c>
    </row>
    <row r="242" customFormat="false" ht="35.05" hidden="false" customHeight="false" outlineLevel="0" collapsed="false">
      <c r="A242" s="67"/>
      <c r="B242" s="68" t="s">
        <v>65</v>
      </c>
      <c r="C242" s="67" t="s">
        <v>156</v>
      </c>
      <c r="D242" s="68" t="s">
        <v>81</v>
      </c>
      <c r="E242" s="69" t="s">
        <v>253</v>
      </c>
      <c r="F242" s="69" t="s">
        <v>254</v>
      </c>
      <c r="G242" s="67" t="s">
        <v>116</v>
      </c>
      <c r="H242" s="70" t="s">
        <v>258</v>
      </c>
      <c r="I242" s="69" t="s">
        <v>259</v>
      </c>
      <c r="J242" s="69" t="s">
        <v>260</v>
      </c>
      <c r="K242" s="67" t="s">
        <v>71</v>
      </c>
      <c r="L242" s="67"/>
      <c r="M242" s="71" t="n">
        <v>46488</v>
      </c>
      <c r="N242" s="71"/>
      <c r="O242" s="71"/>
      <c r="P242" s="71"/>
      <c r="Q242" s="72" t="str">
        <f aca="false">IF(AND(M242="",N242="",O242="",P242=""),"COMPLETAR",IF(P242&lt;&gt;"",IF(O242="","Finalizado",IF(P242&lt;O242,"Finalizado anticipado",IF(P242=O242,"Finalizado","Finalizado con desfase"))),IF(N242&lt;&gt;"",IF(O242="","No planificado",IF(O242&lt;='Tablas y Glosario'!$F$1,"Atrasado",IF(M242="","En curso",IF(N242&gt;M242,"Inicio retrasado",IF(N242&lt;M242,"Inicio anticipado","En curso"))))),IF(M242="","COMPLETAR",IF('Tablas y Glosario'!$F$1&gt;=M242,"No iniciado","Programado")))))</f>
        <v>Programado</v>
      </c>
    </row>
    <row r="243" customFormat="false" ht="35.05" hidden="false" customHeight="false" outlineLevel="0" collapsed="false">
      <c r="A243" s="61"/>
      <c r="B243" s="60" t="s">
        <v>65</v>
      </c>
      <c r="C243" s="61" t="s">
        <v>156</v>
      </c>
      <c r="D243" s="60" t="s">
        <v>81</v>
      </c>
      <c r="E243" s="73" t="s">
        <v>253</v>
      </c>
      <c r="F243" s="73" t="s">
        <v>254</v>
      </c>
      <c r="G243" s="61" t="s">
        <v>117</v>
      </c>
      <c r="H243" s="74" t="s">
        <v>261</v>
      </c>
      <c r="I243" s="73" t="s">
        <v>262</v>
      </c>
      <c r="J243" s="73" t="s">
        <v>263</v>
      </c>
      <c r="K243" s="61" t="s">
        <v>71</v>
      </c>
      <c r="L243" s="61"/>
      <c r="M243" s="75" t="n">
        <v>46489</v>
      </c>
      <c r="N243" s="75"/>
      <c r="O243" s="75"/>
      <c r="P243" s="75"/>
      <c r="Q243" s="76" t="str">
        <f aca="false">IF(AND(M243="",N243="",O243="",P243=""),"COMPLETAR",IF(P243&lt;&gt;"",IF(O243="","Finalizado",IF(P243&lt;O243,"Finalizado anticipado",IF(P243=O243,"Finalizado","Finalizado con desfase"))),IF(N243&lt;&gt;"",IF(O243="","No planificado",IF(O243&lt;='Tablas y Glosario'!$F$1,"Atrasado",IF(M243="","En curso",IF(N243&gt;M243,"Inicio retrasado",IF(N243&lt;M243,"Inicio anticipado","En curso"))))),IF(M243="","COMPLETAR",IF('Tablas y Glosario'!$F$1&gt;=M243,"No iniciado","Programado")))))</f>
        <v>Programado</v>
      </c>
    </row>
    <row r="244" customFormat="false" ht="35.05" hidden="false" customHeight="false" outlineLevel="0" collapsed="false">
      <c r="A244" s="67"/>
      <c r="B244" s="68" t="s">
        <v>65</v>
      </c>
      <c r="C244" s="67" t="s">
        <v>156</v>
      </c>
      <c r="D244" s="68" t="s">
        <v>81</v>
      </c>
      <c r="E244" s="69" t="s">
        <v>253</v>
      </c>
      <c r="F244" s="69" t="s">
        <v>254</v>
      </c>
      <c r="G244" s="67" t="s">
        <v>118</v>
      </c>
      <c r="H244" s="70" t="s">
        <v>264</v>
      </c>
      <c r="I244" s="69" t="s">
        <v>265</v>
      </c>
      <c r="J244" s="69" t="s">
        <v>266</v>
      </c>
      <c r="K244" s="67" t="s">
        <v>71</v>
      </c>
      <c r="L244" s="67"/>
      <c r="M244" s="71" t="n">
        <v>46490</v>
      </c>
      <c r="N244" s="71"/>
      <c r="O244" s="71"/>
      <c r="P244" s="71"/>
      <c r="Q244" s="72" t="str">
        <f aca="false">IF(AND(M244="",N244="",O244="",P244=""),"COMPLETAR",IF(P244&lt;&gt;"",IF(O244="","Finalizado",IF(P244&lt;O244,"Finalizado anticipado",IF(P244=O244,"Finalizado","Finalizado con desfase"))),IF(N244&lt;&gt;"",IF(O244="","No planificado",IF(O244&lt;='Tablas y Glosario'!$F$1,"Atrasado",IF(M244="","En curso",IF(N244&gt;M244,"Inicio retrasado",IF(N244&lt;M244,"Inicio anticipado","En curso"))))),IF(M244="","COMPLETAR",IF('Tablas y Glosario'!$F$1&gt;=M244,"No iniciado","Programado")))))</f>
        <v>Programado</v>
      </c>
    </row>
    <row r="245" customFormat="false" ht="35.05" hidden="false" customHeight="false" outlineLevel="0" collapsed="false">
      <c r="A245" s="61"/>
      <c r="B245" s="60" t="s">
        <v>65</v>
      </c>
      <c r="C245" s="61" t="s">
        <v>156</v>
      </c>
      <c r="D245" s="60" t="s">
        <v>81</v>
      </c>
      <c r="E245" s="73" t="s">
        <v>253</v>
      </c>
      <c r="F245" s="73" t="s">
        <v>254</v>
      </c>
      <c r="G245" s="61" t="s">
        <v>119</v>
      </c>
      <c r="H245" s="74" t="s">
        <v>267</v>
      </c>
      <c r="I245" s="73" t="s">
        <v>268</v>
      </c>
      <c r="J245" s="73" t="s">
        <v>269</v>
      </c>
      <c r="K245" s="61" t="s">
        <v>71</v>
      </c>
      <c r="L245" s="61"/>
      <c r="M245" s="75" t="n">
        <v>46491</v>
      </c>
      <c r="N245" s="75"/>
      <c r="O245" s="75"/>
      <c r="P245" s="75"/>
      <c r="Q245" s="76" t="str">
        <f aca="false">IF(AND(M245="",N245="",O245="",P245=""),"COMPLETAR",IF(P245&lt;&gt;"",IF(O245="","Finalizado",IF(P245&lt;O245,"Finalizado anticipado",IF(P245=O245,"Finalizado","Finalizado con desfase"))),IF(N245&lt;&gt;"",IF(O245="","No planificado",IF(O245&lt;='Tablas y Glosario'!$F$1,"Atrasado",IF(M245="","En curso",IF(N245&gt;M245,"Inicio retrasado",IF(N245&lt;M245,"Inicio anticipado","En curso"))))),IF(M245="","COMPLETAR",IF('Tablas y Glosario'!$F$1&gt;=M245,"No iniciado","Programado")))))</f>
        <v>Programado</v>
      </c>
    </row>
    <row r="246" customFormat="false" ht="35.05" hidden="false" customHeight="false" outlineLevel="0" collapsed="false">
      <c r="A246" s="67"/>
      <c r="B246" s="68" t="s">
        <v>65</v>
      </c>
      <c r="C246" s="67" t="s">
        <v>156</v>
      </c>
      <c r="D246" s="68" t="s">
        <v>81</v>
      </c>
      <c r="E246" s="69" t="s">
        <v>253</v>
      </c>
      <c r="F246" s="69" t="s">
        <v>254</v>
      </c>
      <c r="G246" s="67" t="s">
        <v>120</v>
      </c>
      <c r="H246" s="70" t="s">
        <v>270</v>
      </c>
      <c r="I246" s="69" t="s">
        <v>271</v>
      </c>
      <c r="J246" s="69" t="s">
        <v>272</v>
      </c>
      <c r="K246" s="67" t="s">
        <v>70</v>
      </c>
      <c r="L246" s="67"/>
      <c r="M246" s="71" t="n">
        <v>46492</v>
      </c>
      <c r="N246" s="71"/>
      <c r="O246" s="71"/>
      <c r="P246" s="71"/>
      <c r="Q246" s="72" t="str">
        <f aca="false">IF(AND(M246="",N246="",O246="",P246=""),"COMPLETAR",IF(P246&lt;&gt;"",IF(O246="","Finalizado",IF(P246&lt;O246,"Finalizado anticipado",IF(P246=O246,"Finalizado","Finalizado con desfase"))),IF(N246&lt;&gt;"",IF(O246="","No planificado",IF(O246&lt;='Tablas y Glosario'!$F$1,"Atrasado",IF(M246="","En curso",IF(N246&gt;M246,"Inicio retrasado",IF(N246&lt;M246,"Inicio anticipado","En curso"))))),IF(M246="","COMPLETAR",IF('Tablas y Glosario'!$F$1&gt;=M246,"No iniciado","Programado")))))</f>
        <v>Programado</v>
      </c>
    </row>
    <row r="247" customFormat="false" ht="35.05" hidden="false" customHeight="false" outlineLevel="0" collapsed="false">
      <c r="A247" s="61"/>
      <c r="B247" s="60" t="s">
        <v>65</v>
      </c>
      <c r="C247" s="61" t="s">
        <v>156</v>
      </c>
      <c r="D247" s="60" t="s">
        <v>82</v>
      </c>
      <c r="E247" s="73" t="s">
        <v>273</v>
      </c>
      <c r="F247" s="73" t="s">
        <v>274</v>
      </c>
      <c r="G247" s="61" t="s">
        <v>121</v>
      </c>
      <c r="H247" s="74" t="s">
        <v>275</v>
      </c>
      <c r="I247" s="73" t="s">
        <v>276</v>
      </c>
      <c r="J247" s="73" t="s">
        <v>277</v>
      </c>
      <c r="K247" s="61" t="s">
        <v>71</v>
      </c>
      <c r="L247" s="61"/>
      <c r="M247" s="75" t="n">
        <v>46493</v>
      </c>
      <c r="N247" s="75"/>
      <c r="O247" s="75"/>
      <c r="P247" s="75"/>
      <c r="Q247" s="76" t="str">
        <f aca="false">IF(AND(M247="",N247="",O247="",P247=""),"COMPLETAR",IF(P247&lt;&gt;"",IF(O247="","Finalizado",IF(P247&lt;O247,"Finalizado anticipado",IF(P247=O247,"Finalizado","Finalizado con desfase"))),IF(N247&lt;&gt;"",IF(O247="","No planificado",IF(O247&lt;='Tablas y Glosario'!$F$1,"Atrasado",IF(M247="","En curso",IF(N247&gt;M247,"Inicio retrasado",IF(N247&lt;M247,"Inicio anticipado","En curso"))))),IF(M247="","COMPLETAR",IF('Tablas y Glosario'!$F$1&gt;=M247,"No iniciado","Programado")))))</f>
        <v>Programado</v>
      </c>
    </row>
    <row r="248" customFormat="false" ht="35.05" hidden="false" customHeight="false" outlineLevel="0" collapsed="false">
      <c r="A248" s="67"/>
      <c r="B248" s="68" t="s">
        <v>65</v>
      </c>
      <c r="C248" s="67" t="s">
        <v>156</v>
      </c>
      <c r="D248" s="68" t="s">
        <v>82</v>
      </c>
      <c r="E248" s="69" t="s">
        <v>273</v>
      </c>
      <c r="F248" s="69" t="s">
        <v>274</v>
      </c>
      <c r="G248" s="67" t="s">
        <v>122</v>
      </c>
      <c r="H248" s="70" t="s">
        <v>278</v>
      </c>
      <c r="I248" s="69" t="s">
        <v>279</v>
      </c>
      <c r="J248" s="69" t="s">
        <v>280</v>
      </c>
      <c r="K248" s="67" t="s">
        <v>71</v>
      </c>
      <c r="L248" s="67"/>
      <c r="M248" s="71" t="n">
        <v>46494</v>
      </c>
      <c r="N248" s="71"/>
      <c r="O248" s="71"/>
      <c r="P248" s="71"/>
      <c r="Q248" s="72" t="str">
        <f aca="false">IF(AND(M248="",N248="",O248="",P248=""),"COMPLETAR",IF(P248&lt;&gt;"",IF(O248="","Finalizado",IF(P248&lt;O248,"Finalizado anticipado",IF(P248=O248,"Finalizado","Finalizado con desfase"))),IF(N248&lt;&gt;"",IF(O248="","No planificado",IF(O248&lt;='Tablas y Glosario'!$F$1,"Atrasado",IF(M248="","En curso",IF(N248&gt;M248,"Inicio retrasado",IF(N248&lt;M248,"Inicio anticipado","En curso"))))),IF(M248="","COMPLETAR",IF('Tablas y Glosario'!$F$1&gt;=M248,"No iniciado","Programado")))))</f>
        <v>Programado</v>
      </c>
    </row>
    <row r="249" customFormat="false" ht="35.05" hidden="false" customHeight="false" outlineLevel="0" collapsed="false">
      <c r="A249" s="61"/>
      <c r="B249" s="60" t="s">
        <v>65</v>
      </c>
      <c r="C249" s="61" t="s">
        <v>156</v>
      </c>
      <c r="D249" s="60" t="s">
        <v>82</v>
      </c>
      <c r="E249" s="73" t="s">
        <v>273</v>
      </c>
      <c r="F249" s="73" t="s">
        <v>274</v>
      </c>
      <c r="G249" s="61" t="s">
        <v>123</v>
      </c>
      <c r="H249" s="74" t="s">
        <v>281</v>
      </c>
      <c r="I249" s="73" t="s">
        <v>282</v>
      </c>
      <c r="J249" s="73" t="s">
        <v>227</v>
      </c>
      <c r="K249" s="61" t="s">
        <v>71</v>
      </c>
      <c r="L249" s="61"/>
      <c r="M249" s="75" t="n">
        <v>46495</v>
      </c>
      <c r="N249" s="75"/>
      <c r="O249" s="75"/>
      <c r="P249" s="75"/>
      <c r="Q249" s="76" t="str">
        <f aca="false">IF(AND(M249="",N249="",O249="",P249=""),"COMPLETAR",IF(P249&lt;&gt;"",IF(O249="","Finalizado",IF(P249&lt;O249,"Finalizado anticipado",IF(P249=O249,"Finalizado","Finalizado con desfase"))),IF(N249&lt;&gt;"",IF(O249="","No planificado",IF(O249&lt;='Tablas y Glosario'!$F$1,"Atrasado",IF(M249="","En curso",IF(N249&gt;M249,"Inicio retrasado",IF(N249&lt;M249,"Inicio anticipado","En curso"))))),IF(M249="","COMPLETAR",IF('Tablas y Glosario'!$F$1&gt;=M249,"No iniciado","Programado")))))</f>
        <v>Programado</v>
      </c>
    </row>
    <row r="250" customFormat="false" ht="46.25" hidden="false" customHeight="false" outlineLevel="0" collapsed="false">
      <c r="A250" s="67"/>
      <c r="B250" s="68" t="s">
        <v>65</v>
      </c>
      <c r="C250" s="67" t="s">
        <v>156</v>
      </c>
      <c r="D250" s="68" t="s">
        <v>83</v>
      </c>
      <c r="E250" s="69" t="s">
        <v>283</v>
      </c>
      <c r="F250" s="69" t="s">
        <v>284</v>
      </c>
      <c r="G250" s="67" t="s">
        <v>124</v>
      </c>
      <c r="H250" s="70" t="s">
        <v>285</v>
      </c>
      <c r="I250" s="69" t="s">
        <v>286</v>
      </c>
      <c r="J250" s="69" t="s">
        <v>287</v>
      </c>
      <c r="K250" s="67" t="s">
        <v>70</v>
      </c>
      <c r="L250" s="67"/>
      <c r="M250" s="71" t="n">
        <v>46496</v>
      </c>
      <c r="N250" s="71"/>
      <c r="O250" s="71"/>
      <c r="P250" s="71"/>
      <c r="Q250" s="72" t="str">
        <f aca="false">IF(AND(M250="",N250="",O250="",P250=""),"COMPLETAR",IF(P250&lt;&gt;"",IF(O250="","Finalizado",IF(P250&lt;O250,"Finalizado anticipado",IF(P250=O250,"Finalizado","Finalizado con desfase"))),IF(N250&lt;&gt;"",IF(O250="","No planificado",IF(O250&lt;='Tablas y Glosario'!$F$1,"Atrasado",IF(M250="","En curso",IF(N250&gt;M250,"Inicio retrasado",IF(N250&lt;M250,"Inicio anticipado","En curso"))))),IF(M250="","COMPLETAR",IF('Tablas y Glosario'!$F$1&gt;=M250,"No iniciado","Programado")))))</f>
        <v>Programado</v>
      </c>
    </row>
    <row r="251" customFormat="false" ht="46.25" hidden="false" customHeight="false" outlineLevel="0" collapsed="false">
      <c r="A251" s="61"/>
      <c r="B251" s="60" t="s">
        <v>65</v>
      </c>
      <c r="C251" s="61" t="s">
        <v>156</v>
      </c>
      <c r="D251" s="60" t="s">
        <v>83</v>
      </c>
      <c r="E251" s="73" t="s">
        <v>283</v>
      </c>
      <c r="F251" s="73" t="s">
        <v>288</v>
      </c>
      <c r="G251" s="61" t="s">
        <v>125</v>
      </c>
      <c r="H251" s="74" t="s">
        <v>289</v>
      </c>
      <c r="I251" s="73" t="s">
        <v>290</v>
      </c>
      <c r="J251" s="73" t="s">
        <v>291</v>
      </c>
      <c r="K251" s="61" t="s">
        <v>70</v>
      </c>
      <c r="L251" s="61"/>
      <c r="M251" s="75" t="n">
        <v>46497</v>
      </c>
      <c r="N251" s="75"/>
      <c r="O251" s="75"/>
      <c r="P251" s="75"/>
      <c r="Q251" s="76" t="str">
        <f aca="false">IF(AND(M251="",N251="",O251="",P251=""),"COMPLETAR",IF(P251&lt;&gt;"",IF(O251="","Finalizado",IF(P251&lt;O251,"Finalizado anticipado",IF(P251=O251,"Finalizado","Finalizado con desfase"))),IF(N251&lt;&gt;"",IF(O251="","No planificado",IF(O251&lt;='Tablas y Glosario'!$F$1,"Atrasado",IF(M251="","En curso",IF(N251&gt;M251,"Inicio retrasado",IF(N251&lt;M251,"Inicio anticipado","En curso"))))),IF(M251="","COMPLETAR",IF('Tablas y Glosario'!$F$1&gt;=M251,"No iniciado","Programado")))))</f>
        <v>Programado</v>
      </c>
    </row>
    <row r="252" customFormat="false" ht="46.25" hidden="false" customHeight="false" outlineLevel="0" collapsed="false">
      <c r="A252" s="67"/>
      <c r="B252" s="68" t="s">
        <v>65</v>
      </c>
      <c r="C252" s="67" t="s">
        <v>156</v>
      </c>
      <c r="D252" s="68" t="s">
        <v>83</v>
      </c>
      <c r="E252" s="69" t="s">
        <v>283</v>
      </c>
      <c r="F252" s="69" t="s">
        <v>288</v>
      </c>
      <c r="G252" s="67" t="s">
        <v>126</v>
      </c>
      <c r="H252" s="70" t="s">
        <v>292</v>
      </c>
      <c r="I252" s="69" t="s">
        <v>293</v>
      </c>
      <c r="J252" s="69" t="s">
        <v>294</v>
      </c>
      <c r="K252" s="67" t="s">
        <v>70</v>
      </c>
      <c r="L252" s="67"/>
      <c r="M252" s="71" t="n">
        <v>46498</v>
      </c>
      <c r="N252" s="71"/>
      <c r="O252" s="71"/>
      <c r="P252" s="71"/>
      <c r="Q252" s="72" t="str">
        <f aca="false">IF(AND(M252="",N252="",O252="",P252=""),"COMPLETAR",IF(P252&lt;&gt;"",IF(O252="","Finalizado",IF(P252&lt;O252,"Finalizado anticipado",IF(P252=O252,"Finalizado","Finalizado con desfase"))),IF(N252&lt;&gt;"",IF(O252="","No planificado",IF(O252&lt;='Tablas y Glosario'!$F$1,"Atrasado",IF(M252="","En curso",IF(N252&gt;M252,"Inicio retrasado",IF(N252&lt;M252,"Inicio anticipado","En curso"))))),IF(M252="","COMPLETAR",IF('Tablas y Glosario'!$F$1&gt;=M252,"No iniciado","Programado")))))</f>
        <v>Programado</v>
      </c>
    </row>
    <row r="253" customFormat="false" ht="46.25" hidden="false" customHeight="false" outlineLevel="0" collapsed="false">
      <c r="A253" s="61"/>
      <c r="B253" s="60" t="s">
        <v>65</v>
      </c>
      <c r="C253" s="61" t="s">
        <v>156</v>
      </c>
      <c r="D253" s="60" t="s">
        <v>83</v>
      </c>
      <c r="E253" s="73" t="s">
        <v>283</v>
      </c>
      <c r="F253" s="73" t="s">
        <v>288</v>
      </c>
      <c r="G253" s="61" t="s">
        <v>127</v>
      </c>
      <c r="H253" s="74" t="s">
        <v>295</v>
      </c>
      <c r="I253" s="73" t="s">
        <v>296</v>
      </c>
      <c r="J253" s="73" t="s">
        <v>297</v>
      </c>
      <c r="K253" s="61" t="s">
        <v>70</v>
      </c>
      <c r="L253" s="61"/>
      <c r="M253" s="75" t="n">
        <v>46499</v>
      </c>
      <c r="N253" s="75"/>
      <c r="O253" s="75"/>
      <c r="P253" s="75"/>
      <c r="Q253" s="76" t="str">
        <f aca="false">IF(AND(M253="",N253="",O253="",P253=""),"COMPLETAR",IF(P253&lt;&gt;"",IF(O253="","Finalizado",IF(P253&lt;O253,"Finalizado anticipado",IF(P253=O253,"Finalizado","Finalizado con desfase"))),IF(N253&lt;&gt;"",IF(O253="","No planificado",IF(O253&lt;='Tablas y Glosario'!$F$1,"Atrasado",IF(M253="","En curso",IF(N253&gt;M253,"Inicio retrasado",IF(N253&lt;M253,"Inicio anticipado","En curso"))))),IF(M253="","COMPLETAR",IF('Tablas y Glosario'!$F$1&gt;=M253,"No iniciado","Programado")))))</f>
        <v>Programado</v>
      </c>
    </row>
    <row r="254" customFormat="false" ht="57.45" hidden="false" customHeight="false" outlineLevel="0" collapsed="false">
      <c r="A254" s="67"/>
      <c r="B254" s="68" t="s">
        <v>66</v>
      </c>
      <c r="C254" s="67" t="s">
        <v>156</v>
      </c>
      <c r="D254" s="68" t="s">
        <v>74</v>
      </c>
      <c r="E254" s="69" t="s">
        <v>157</v>
      </c>
      <c r="F254" s="69" t="s">
        <v>158</v>
      </c>
      <c r="G254" s="67" t="s">
        <v>87</v>
      </c>
      <c r="H254" s="70" t="s">
        <v>159</v>
      </c>
      <c r="I254" s="69" t="s">
        <v>160</v>
      </c>
      <c r="J254" s="69" t="s">
        <v>161</v>
      </c>
      <c r="K254" s="67" t="s">
        <v>70</v>
      </c>
      <c r="L254" s="67"/>
      <c r="M254" s="71" t="n">
        <v>46500</v>
      </c>
      <c r="N254" s="71"/>
      <c r="O254" s="71"/>
      <c r="P254" s="71"/>
      <c r="Q254" s="72" t="str">
        <f aca="false">IF(AND(M254="",N254="",O254="",P254=""),"COMPLETAR",IF(P254&lt;&gt;"",IF(O254="","Finalizado",IF(P254&lt;O254,"Finalizado anticipado",IF(P254=O254,"Finalizado","Finalizado con desfase"))),IF(N254&lt;&gt;"",IF(O254="","No planificado",IF(O254&lt;='Tablas y Glosario'!$F$1,"Atrasado",IF(M254="","En curso",IF(N254&gt;M254,"Inicio retrasado",IF(N254&lt;M254,"Inicio anticipado","En curso"))))),IF(M254="","COMPLETAR",IF('Tablas y Glosario'!$F$1&gt;=M254,"No iniciado","Programado")))))</f>
        <v>Programado</v>
      </c>
    </row>
    <row r="255" customFormat="false" ht="57.45" hidden="false" customHeight="false" outlineLevel="0" collapsed="false">
      <c r="A255" s="61"/>
      <c r="B255" s="60" t="s">
        <v>66</v>
      </c>
      <c r="C255" s="61" t="s">
        <v>156</v>
      </c>
      <c r="D255" s="60" t="s">
        <v>74</v>
      </c>
      <c r="E255" s="73" t="s">
        <v>157</v>
      </c>
      <c r="F255" s="73" t="s">
        <v>158</v>
      </c>
      <c r="G255" s="61" t="s">
        <v>88</v>
      </c>
      <c r="H255" s="74" t="s">
        <v>162</v>
      </c>
      <c r="I255" s="73" t="s">
        <v>163</v>
      </c>
      <c r="J255" s="73" t="s">
        <v>164</v>
      </c>
      <c r="K255" s="61" t="s">
        <v>70</v>
      </c>
      <c r="L255" s="61"/>
      <c r="M255" s="75" t="n">
        <v>46501</v>
      </c>
      <c r="N255" s="75"/>
      <c r="O255" s="75"/>
      <c r="P255" s="75"/>
      <c r="Q255" s="76" t="str">
        <f aca="false">IF(AND(M255="",N255="",O255="",P255=""),"COMPLETAR",IF(P255&lt;&gt;"",IF(O255="","Finalizado",IF(P255&lt;O255,"Finalizado anticipado",IF(P255=O255,"Finalizado","Finalizado con desfase"))),IF(N255&lt;&gt;"",IF(O255="","No planificado",IF(O255&lt;='Tablas y Glosario'!$F$1,"Atrasado",IF(M255="","En curso",IF(N255&gt;M255,"Inicio retrasado",IF(N255&lt;M255,"Inicio anticipado","En curso"))))),IF(M255="","COMPLETAR",IF('Tablas y Glosario'!$F$1&gt;=M255,"No iniciado","Programado")))))</f>
        <v>Programado</v>
      </c>
    </row>
    <row r="256" customFormat="false" ht="57.45" hidden="false" customHeight="false" outlineLevel="0" collapsed="false">
      <c r="A256" s="67"/>
      <c r="B256" s="68" t="s">
        <v>66</v>
      </c>
      <c r="C256" s="67" t="s">
        <v>156</v>
      </c>
      <c r="D256" s="68" t="s">
        <v>74</v>
      </c>
      <c r="E256" s="69" t="s">
        <v>157</v>
      </c>
      <c r="F256" s="69" t="s">
        <v>158</v>
      </c>
      <c r="G256" s="67" t="s">
        <v>89</v>
      </c>
      <c r="H256" s="70" t="s">
        <v>165</v>
      </c>
      <c r="I256" s="69" t="s">
        <v>166</v>
      </c>
      <c r="J256" s="69" t="s">
        <v>167</v>
      </c>
      <c r="K256" s="67" t="s">
        <v>70</v>
      </c>
      <c r="L256" s="67"/>
      <c r="M256" s="71" t="n">
        <v>46502</v>
      </c>
      <c r="N256" s="71"/>
      <c r="O256" s="71"/>
      <c r="P256" s="71"/>
      <c r="Q256" s="72" t="str">
        <f aca="false">IF(AND(M256="",N256="",O256="",P256=""),"COMPLETAR",IF(P256&lt;&gt;"",IF(O256="","Finalizado",IF(P256&lt;O256,"Finalizado anticipado",IF(P256=O256,"Finalizado","Finalizado con desfase"))),IF(N256&lt;&gt;"",IF(O256="","No planificado",IF(O256&lt;='Tablas y Glosario'!$F$1,"Atrasado",IF(M256="","En curso",IF(N256&gt;M256,"Inicio retrasado",IF(N256&lt;M256,"Inicio anticipado","En curso"))))),IF(M256="","COMPLETAR",IF('Tablas y Glosario'!$F$1&gt;=M256,"No iniciado","Programado")))))</f>
        <v>Programado</v>
      </c>
    </row>
    <row r="257" customFormat="false" ht="57.45" hidden="false" customHeight="false" outlineLevel="0" collapsed="false">
      <c r="A257" s="61"/>
      <c r="B257" s="60" t="s">
        <v>66</v>
      </c>
      <c r="C257" s="61" t="s">
        <v>156</v>
      </c>
      <c r="D257" s="60" t="s">
        <v>74</v>
      </c>
      <c r="E257" s="73" t="s">
        <v>157</v>
      </c>
      <c r="F257" s="73" t="s">
        <v>158</v>
      </c>
      <c r="G257" s="61" t="s">
        <v>90</v>
      </c>
      <c r="H257" s="74" t="s">
        <v>168</v>
      </c>
      <c r="I257" s="73" t="s">
        <v>169</v>
      </c>
      <c r="J257" s="73" t="s">
        <v>170</v>
      </c>
      <c r="K257" s="61" t="s">
        <v>70</v>
      </c>
      <c r="L257" s="61"/>
      <c r="M257" s="75" t="n">
        <v>46503</v>
      </c>
      <c r="N257" s="75"/>
      <c r="O257" s="75"/>
      <c r="P257" s="75"/>
      <c r="Q257" s="76" t="str">
        <f aca="false">IF(AND(M257="",N257="",O257="",P257=""),"COMPLETAR",IF(P257&lt;&gt;"",IF(O257="","Finalizado",IF(P257&lt;O257,"Finalizado anticipado",IF(P257=O257,"Finalizado","Finalizado con desfase"))),IF(N257&lt;&gt;"",IF(O257="","No planificado",IF(O257&lt;='Tablas y Glosario'!$F$1,"Atrasado",IF(M257="","En curso",IF(N257&gt;M257,"Inicio retrasado",IF(N257&lt;M257,"Inicio anticipado","En curso"))))),IF(M257="","COMPLETAR",IF('Tablas y Glosario'!$F$1&gt;=M257,"No iniciado","Programado")))))</f>
        <v>Programado</v>
      </c>
    </row>
    <row r="258" customFormat="false" ht="46.25" hidden="false" customHeight="false" outlineLevel="0" collapsed="false">
      <c r="A258" s="67"/>
      <c r="B258" s="68" t="s">
        <v>66</v>
      </c>
      <c r="C258" s="67" t="s">
        <v>156</v>
      </c>
      <c r="D258" s="68" t="s">
        <v>75</v>
      </c>
      <c r="E258" s="69" t="s">
        <v>171</v>
      </c>
      <c r="F258" s="69" t="s">
        <v>172</v>
      </c>
      <c r="G258" s="67" t="s">
        <v>91</v>
      </c>
      <c r="H258" s="70" t="s">
        <v>173</v>
      </c>
      <c r="I258" s="69" t="s">
        <v>174</v>
      </c>
      <c r="J258" s="69" t="s">
        <v>175</v>
      </c>
      <c r="K258" s="67" t="s">
        <v>70</v>
      </c>
      <c r="L258" s="67"/>
      <c r="M258" s="71" t="n">
        <v>46504</v>
      </c>
      <c r="N258" s="71"/>
      <c r="O258" s="71"/>
      <c r="P258" s="71"/>
      <c r="Q258" s="72" t="str">
        <f aca="false">IF(AND(M258="",N258="",O258="",P258=""),"COMPLETAR",IF(P258&lt;&gt;"",IF(O258="","Finalizado",IF(P258&lt;O258,"Finalizado anticipado",IF(P258=O258,"Finalizado","Finalizado con desfase"))),IF(N258&lt;&gt;"",IF(O258="","No planificado",IF(O258&lt;='Tablas y Glosario'!$F$1,"Atrasado",IF(M258="","En curso",IF(N258&gt;M258,"Inicio retrasado",IF(N258&lt;M258,"Inicio anticipado","En curso"))))),IF(M258="","COMPLETAR",IF('Tablas y Glosario'!$F$1&gt;=M258,"No iniciado","Programado")))))</f>
        <v>Programado</v>
      </c>
    </row>
    <row r="259" customFormat="false" ht="46.25" hidden="false" customHeight="false" outlineLevel="0" collapsed="false">
      <c r="A259" s="61"/>
      <c r="B259" s="60" t="s">
        <v>66</v>
      </c>
      <c r="C259" s="61" t="s">
        <v>156</v>
      </c>
      <c r="D259" s="60" t="s">
        <v>75</v>
      </c>
      <c r="E259" s="73" t="s">
        <v>171</v>
      </c>
      <c r="F259" s="73" t="s">
        <v>176</v>
      </c>
      <c r="G259" s="61" t="s">
        <v>92</v>
      </c>
      <c r="H259" s="74" t="s">
        <v>177</v>
      </c>
      <c r="I259" s="73" t="s">
        <v>178</v>
      </c>
      <c r="J259" s="73" t="s">
        <v>175</v>
      </c>
      <c r="K259" s="61" t="s">
        <v>70</v>
      </c>
      <c r="L259" s="61"/>
      <c r="M259" s="75" t="n">
        <v>46505</v>
      </c>
      <c r="N259" s="75"/>
      <c r="O259" s="75"/>
      <c r="P259" s="75"/>
      <c r="Q259" s="76" t="str">
        <f aca="false">IF(AND(M259="",N259="",O259="",P259=""),"COMPLETAR",IF(P259&lt;&gt;"",IF(O259="","Finalizado",IF(P259&lt;O259,"Finalizado anticipado",IF(P259=O259,"Finalizado","Finalizado con desfase"))),IF(N259&lt;&gt;"",IF(O259="","No planificado",IF(O259&lt;='Tablas y Glosario'!$F$1,"Atrasado",IF(M259="","En curso",IF(N259&gt;M259,"Inicio retrasado",IF(N259&lt;M259,"Inicio anticipado","En curso"))))),IF(M259="","COMPLETAR",IF('Tablas y Glosario'!$F$1&gt;=M259,"No iniciado","Programado")))))</f>
        <v>Programado</v>
      </c>
    </row>
    <row r="260" customFormat="false" ht="46.25" hidden="false" customHeight="false" outlineLevel="0" collapsed="false">
      <c r="A260" s="67"/>
      <c r="B260" s="68" t="s">
        <v>66</v>
      </c>
      <c r="C260" s="67" t="s">
        <v>156</v>
      </c>
      <c r="D260" s="68" t="s">
        <v>75</v>
      </c>
      <c r="E260" s="69" t="s">
        <v>171</v>
      </c>
      <c r="F260" s="69" t="s">
        <v>176</v>
      </c>
      <c r="G260" s="67" t="s">
        <v>93</v>
      </c>
      <c r="H260" s="70" t="s">
        <v>179</v>
      </c>
      <c r="I260" s="69" t="s">
        <v>180</v>
      </c>
      <c r="J260" s="69" t="s">
        <v>181</v>
      </c>
      <c r="K260" s="67" t="s">
        <v>70</v>
      </c>
      <c r="L260" s="67"/>
      <c r="M260" s="71" t="n">
        <v>46506</v>
      </c>
      <c r="N260" s="71"/>
      <c r="O260" s="71"/>
      <c r="P260" s="71"/>
      <c r="Q260" s="72" t="str">
        <f aca="false">IF(AND(M260="",N260="",O260="",P260=""),"COMPLETAR",IF(P260&lt;&gt;"",IF(O260="","Finalizado",IF(P260&lt;O260,"Finalizado anticipado",IF(P260=O260,"Finalizado","Finalizado con desfase"))),IF(N260&lt;&gt;"",IF(O260="","No planificado",IF(O260&lt;='Tablas y Glosario'!$F$1,"Atrasado",IF(M260="","En curso",IF(N260&gt;M260,"Inicio retrasado",IF(N260&lt;M260,"Inicio anticipado","En curso"))))),IF(M260="","COMPLETAR",IF('Tablas y Glosario'!$F$1&gt;=M260,"No iniciado","Programado")))))</f>
        <v>Programado</v>
      </c>
    </row>
    <row r="261" customFormat="false" ht="46.25" hidden="false" customHeight="false" outlineLevel="0" collapsed="false">
      <c r="A261" s="61"/>
      <c r="B261" s="60" t="s">
        <v>66</v>
      </c>
      <c r="C261" s="61" t="s">
        <v>156</v>
      </c>
      <c r="D261" s="60" t="s">
        <v>75</v>
      </c>
      <c r="E261" s="73" t="s">
        <v>171</v>
      </c>
      <c r="F261" s="73" t="s">
        <v>176</v>
      </c>
      <c r="G261" s="61" t="s">
        <v>94</v>
      </c>
      <c r="H261" s="74" t="s">
        <v>182</v>
      </c>
      <c r="I261" s="73" t="s">
        <v>183</v>
      </c>
      <c r="J261" s="73" t="s">
        <v>184</v>
      </c>
      <c r="K261" s="61" t="s">
        <v>70</v>
      </c>
      <c r="L261" s="61"/>
      <c r="M261" s="75" t="n">
        <v>46507</v>
      </c>
      <c r="N261" s="75"/>
      <c r="O261" s="75"/>
      <c r="P261" s="75"/>
      <c r="Q261" s="76" t="str">
        <f aca="false">IF(AND(M261="",N261="",O261="",P261=""),"COMPLETAR",IF(P261&lt;&gt;"",IF(O261="","Finalizado",IF(P261&lt;O261,"Finalizado anticipado",IF(P261=O261,"Finalizado","Finalizado con desfase"))),IF(N261&lt;&gt;"",IF(O261="","No planificado",IF(O261&lt;='Tablas y Glosario'!$F$1,"Atrasado",IF(M261="","En curso",IF(N261&gt;M261,"Inicio retrasado",IF(N261&lt;M261,"Inicio anticipado","En curso"))))),IF(M261="","COMPLETAR",IF('Tablas y Glosario'!$F$1&gt;=M261,"No iniciado","Programado")))))</f>
        <v>Programado</v>
      </c>
    </row>
    <row r="262" customFormat="false" ht="46.25" hidden="false" customHeight="false" outlineLevel="0" collapsed="false">
      <c r="A262" s="67"/>
      <c r="B262" s="68" t="s">
        <v>66</v>
      </c>
      <c r="C262" s="67" t="s">
        <v>156</v>
      </c>
      <c r="D262" s="68" t="s">
        <v>75</v>
      </c>
      <c r="E262" s="69" t="s">
        <v>171</v>
      </c>
      <c r="F262" s="69" t="s">
        <v>176</v>
      </c>
      <c r="G262" s="67" t="s">
        <v>95</v>
      </c>
      <c r="H262" s="70" t="s">
        <v>185</v>
      </c>
      <c r="I262" s="69" t="s">
        <v>186</v>
      </c>
      <c r="J262" s="69" t="s">
        <v>187</v>
      </c>
      <c r="K262" s="67" t="s">
        <v>70</v>
      </c>
      <c r="L262" s="67"/>
      <c r="M262" s="71" t="n">
        <v>46508</v>
      </c>
      <c r="N262" s="71"/>
      <c r="O262" s="71"/>
      <c r="P262" s="71"/>
      <c r="Q262" s="72" t="str">
        <f aca="false">IF(AND(M262="",N262="",O262="",P262=""),"COMPLETAR",IF(P262&lt;&gt;"",IF(O262="","Finalizado",IF(P262&lt;O262,"Finalizado anticipado",IF(P262=O262,"Finalizado","Finalizado con desfase"))),IF(N262&lt;&gt;"",IF(O262="","No planificado",IF(O262&lt;='Tablas y Glosario'!$F$1,"Atrasado",IF(M262="","En curso",IF(N262&gt;M262,"Inicio retrasado",IF(N262&lt;M262,"Inicio anticipado","En curso"))))),IF(M262="","COMPLETAR",IF('Tablas y Glosario'!$F$1&gt;=M262,"No iniciado","Programado")))))</f>
        <v>Programado</v>
      </c>
    </row>
    <row r="263" customFormat="false" ht="35.05" hidden="false" customHeight="false" outlineLevel="0" collapsed="false">
      <c r="A263" s="61"/>
      <c r="B263" s="60" t="s">
        <v>66</v>
      </c>
      <c r="C263" s="61" t="s">
        <v>156</v>
      </c>
      <c r="D263" s="60" t="s">
        <v>76</v>
      </c>
      <c r="E263" s="73" t="s">
        <v>188</v>
      </c>
      <c r="F263" s="73" t="s">
        <v>189</v>
      </c>
      <c r="G263" s="61" t="s">
        <v>96</v>
      </c>
      <c r="H263" s="74" t="s">
        <v>190</v>
      </c>
      <c r="I263" s="73" t="s">
        <v>191</v>
      </c>
      <c r="J263" s="73" t="s">
        <v>192</v>
      </c>
      <c r="K263" s="61" t="s">
        <v>71</v>
      </c>
      <c r="L263" s="61"/>
      <c r="M263" s="75" t="n">
        <v>46509</v>
      </c>
      <c r="N263" s="75"/>
      <c r="O263" s="75"/>
      <c r="P263" s="75"/>
      <c r="Q263" s="76" t="str">
        <f aca="false">IF(AND(M263="",N263="",O263="",P263=""),"COMPLETAR",IF(P263&lt;&gt;"",IF(O263="","Finalizado",IF(P263&lt;O263,"Finalizado anticipado",IF(P263=O263,"Finalizado","Finalizado con desfase"))),IF(N263&lt;&gt;"",IF(O263="","No planificado",IF(O263&lt;='Tablas y Glosario'!$F$1,"Atrasado",IF(M263="","En curso",IF(N263&gt;M263,"Inicio retrasado",IF(N263&lt;M263,"Inicio anticipado","En curso"))))),IF(M263="","COMPLETAR",IF('Tablas y Glosario'!$F$1&gt;=M263,"No iniciado","Programado")))))</f>
        <v>Programado</v>
      </c>
    </row>
    <row r="264" customFormat="false" ht="35.05" hidden="false" customHeight="false" outlineLevel="0" collapsed="false">
      <c r="A264" s="67"/>
      <c r="B264" s="68" t="s">
        <v>66</v>
      </c>
      <c r="C264" s="67" t="s">
        <v>156</v>
      </c>
      <c r="D264" s="68" t="s">
        <v>76</v>
      </c>
      <c r="E264" s="69" t="s">
        <v>188</v>
      </c>
      <c r="F264" s="69" t="s">
        <v>189</v>
      </c>
      <c r="G264" s="67" t="s">
        <v>97</v>
      </c>
      <c r="H264" s="70" t="s">
        <v>193</v>
      </c>
      <c r="I264" s="69" t="s">
        <v>110</v>
      </c>
      <c r="J264" s="69" t="s">
        <v>192</v>
      </c>
      <c r="K264" s="67" t="s">
        <v>70</v>
      </c>
      <c r="L264" s="67"/>
      <c r="M264" s="71" t="n">
        <v>46510</v>
      </c>
      <c r="N264" s="71"/>
      <c r="O264" s="71"/>
      <c r="P264" s="71"/>
      <c r="Q264" s="72" t="str">
        <f aca="false">IF(AND(M264="",N264="",O264="",P264=""),"COMPLETAR",IF(P264&lt;&gt;"",IF(O264="","Finalizado",IF(P264&lt;O264,"Finalizado anticipado",IF(P264=O264,"Finalizado","Finalizado con desfase"))),IF(N264&lt;&gt;"",IF(O264="","No planificado",IF(O264&lt;='Tablas y Glosario'!$F$1,"Atrasado",IF(M264="","En curso",IF(N264&gt;M264,"Inicio retrasado",IF(N264&lt;M264,"Inicio anticipado","En curso"))))),IF(M264="","COMPLETAR",IF('Tablas y Glosario'!$F$1&gt;=M264,"No iniciado","Programado")))))</f>
        <v>Programado</v>
      </c>
    </row>
    <row r="265" customFormat="false" ht="35.05" hidden="false" customHeight="false" outlineLevel="0" collapsed="false">
      <c r="A265" s="61"/>
      <c r="B265" s="60" t="s">
        <v>66</v>
      </c>
      <c r="C265" s="61" t="s">
        <v>156</v>
      </c>
      <c r="D265" s="60" t="s">
        <v>76</v>
      </c>
      <c r="E265" s="73" t="s">
        <v>188</v>
      </c>
      <c r="F265" s="73" t="s">
        <v>189</v>
      </c>
      <c r="G265" s="61" t="s">
        <v>98</v>
      </c>
      <c r="H265" s="74" t="s">
        <v>194</v>
      </c>
      <c r="I265" s="73" t="s">
        <v>195</v>
      </c>
      <c r="J265" s="73" t="s">
        <v>196</v>
      </c>
      <c r="K265" s="61" t="s">
        <v>71</v>
      </c>
      <c r="L265" s="61"/>
      <c r="M265" s="75" t="n">
        <v>46511</v>
      </c>
      <c r="N265" s="75"/>
      <c r="O265" s="75"/>
      <c r="P265" s="75"/>
      <c r="Q265" s="76" t="str">
        <f aca="false">IF(AND(M265="",N265="",O265="",P265=""),"COMPLETAR",IF(P265&lt;&gt;"",IF(O265="","Finalizado",IF(P265&lt;O265,"Finalizado anticipado",IF(P265=O265,"Finalizado","Finalizado con desfase"))),IF(N265&lt;&gt;"",IF(O265="","No planificado",IF(O265&lt;='Tablas y Glosario'!$F$1,"Atrasado",IF(M265="","En curso",IF(N265&gt;M265,"Inicio retrasado",IF(N265&lt;M265,"Inicio anticipado","En curso"))))),IF(M265="","COMPLETAR",IF('Tablas y Glosario'!$F$1&gt;=M265,"No iniciado","Programado")))))</f>
        <v>Programado</v>
      </c>
    </row>
    <row r="266" customFormat="false" ht="35.05" hidden="false" customHeight="false" outlineLevel="0" collapsed="false">
      <c r="A266" s="67"/>
      <c r="B266" s="68" t="s">
        <v>66</v>
      </c>
      <c r="C266" s="67" t="s">
        <v>156</v>
      </c>
      <c r="D266" s="68" t="s">
        <v>76</v>
      </c>
      <c r="E266" s="69" t="s">
        <v>188</v>
      </c>
      <c r="F266" s="69" t="s">
        <v>189</v>
      </c>
      <c r="G266" s="67" t="s">
        <v>99</v>
      </c>
      <c r="H266" s="70" t="s">
        <v>197</v>
      </c>
      <c r="I266" s="69" t="s">
        <v>110</v>
      </c>
      <c r="J266" s="69" t="s">
        <v>196</v>
      </c>
      <c r="K266" s="67" t="s">
        <v>70</v>
      </c>
      <c r="L266" s="67"/>
      <c r="M266" s="71" t="n">
        <v>46512</v>
      </c>
      <c r="N266" s="71"/>
      <c r="O266" s="71"/>
      <c r="P266" s="71"/>
      <c r="Q266" s="72" t="str">
        <f aca="false">IF(AND(M266="",N266="",O266="",P266=""),"COMPLETAR",IF(P266&lt;&gt;"",IF(O266="","Finalizado",IF(P266&lt;O266,"Finalizado anticipado",IF(P266=O266,"Finalizado","Finalizado con desfase"))),IF(N266&lt;&gt;"",IF(O266="","No planificado",IF(O266&lt;='Tablas y Glosario'!$F$1,"Atrasado",IF(M266="","En curso",IF(N266&gt;M266,"Inicio retrasado",IF(N266&lt;M266,"Inicio anticipado","En curso"))))),IF(M266="","COMPLETAR",IF('Tablas y Glosario'!$F$1&gt;=M266,"No iniciado","Programado")))))</f>
        <v>Programado</v>
      </c>
    </row>
    <row r="267" customFormat="false" ht="35.05" hidden="false" customHeight="false" outlineLevel="0" collapsed="false">
      <c r="A267" s="61"/>
      <c r="B267" s="60" t="s">
        <v>66</v>
      </c>
      <c r="C267" s="61" t="s">
        <v>156</v>
      </c>
      <c r="D267" s="60" t="s">
        <v>77</v>
      </c>
      <c r="E267" s="73" t="s">
        <v>198</v>
      </c>
      <c r="F267" s="73" t="s">
        <v>199</v>
      </c>
      <c r="G267" s="61" t="s">
        <v>100</v>
      </c>
      <c r="H267" s="74" t="s">
        <v>200</v>
      </c>
      <c r="I267" s="73" t="s">
        <v>201</v>
      </c>
      <c r="J267" s="73" t="s">
        <v>202</v>
      </c>
      <c r="K267" s="61" t="s">
        <v>70</v>
      </c>
      <c r="L267" s="61"/>
      <c r="M267" s="75" t="n">
        <v>46513</v>
      </c>
      <c r="N267" s="75"/>
      <c r="O267" s="75"/>
      <c r="P267" s="75"/>
      <c r="Q267" s="76" t="str">
        <f aca="false">IF(AND(M267="",N267="",O267="",P267=""),"COMPLETAR",IF(P267&lt;&gt;"",IF(O267="","Finalizado",IF(P267&lt;O267,"Finalizado anticipado",IF(P267=O267,"Finalizado","Finalizado con desfase"))),IF(N267&lt;&gt;"",IF(O267="","No planificado",IF(O267&lt;='Tablas y Glosario'!$F$1,"Atrasado",IF(M267="","En curso",IF(N267&gt;M267,"Inicio retrasado",IF(N267&lt;M267,"Inicio anticipado","En curso"))))),IF(M267="","COMPLETAR",IF('Tablas y Glosario'!$F$1&gt;=M267,"No iniciado","Programado")))))</f>
        <v>Programado</v>
      </c>
    </row>
    <row r="268" customFormat="false" ht="23.85" hidden="false" customHeight="false" outlineLevel="0" collapsed="false">
      <c r="A268" s="67"/>
      <c r="B268" s="68" t="s">
        <v>66</v>
      </c>
      <c r="C268" s="67" t="s">
        <v>156</v>
      </c>
      <c r="D268" s="68" t="s">
        <v>78</v>
      </c>
      <c r="E268" s="69" t="s">
        <v>203</v>
      </c>
      <c r="F268" s="69" t="s">
        <v>204</v>
      </c>
      <c r="G268" s="67" t="s">
        <v>101</v>
      </c>
      <c r="H268" s="70" t="s">
        <v>205</v>
      </c>
      <c r="I268" s="69" t="s">
        <v>206</v>
      </c>
      <c r="J268" s="69" t="s">
        <v>207</v>
      </c>
      <c r="K268" s="67" t="s">
        <v>71</v>
      </c>
      <c r="L268" s="67"/>
      <c r="M268" s="71" t="n">
        <v>46514</v>
      </c>
      <c r="N268" s="71"/>
      <c r="O268" s="71"/>
      <c r="P268" s="71"/>
      <c r="Q268" s="72" t="str">
        <f aca="false">IF(AND(M268="",N268="",O268="",P268=""),"COMPLETAR",IF(P268&lt;&gt;"",IF(O268="","Finalizado",IF(P268&lt;O268,"Finalizado anticipado",IF(P268=O268,"Finalizado","Finalizado con desfase"))),IF(N268&lt;&gt;"",IF(O268="","No planificado",IF(O268&lt;='Tablas y Glosario'!$F$1,"Atrasado",IF(M268="","En curso",IF(N268&gt;M268,"Inicio retrasado",IF(N268&lt;M268,"Inicio anticipado","En curso"))))),IF(M268="","COMPLETAR",IF('Tablas y Glosario'!$F$1&gt;=M268,"No iniciado","Programado")))))</f>
        <v>Programado</v>
      </c>
    </row>
    <row r="269" customFormat="false" ht="23.85" hidden="false" customHeight="false" outlineLevel="0" collapsed="false">
      <c r="A269" s="61"/>
      <c r="B269" s="60" t="s">
        <v>66</v>
      </c>
      <c r="C269" s="61" t="s">
        <v>156</v>
      </c>
      <c r="D269" s="60" t="s">
        <v>78</v>
      </c>
      <c r="E269" s="73" t="s">
        <v>203</v>
      </c>
      <c r="F269" s="73" t="s">
        <v>204</v>
      </c>
      <c r="G269" s="61" t="s">
        <v>102</v>
      </c>
      <c r="H269" s="74" t="s">
        <v>208</v>
      </c>
      <c r="I269" s="73" t="s">
        <v>209</v>
      </c>
      <c r="J269" s="73" t="s">
        <v>210</v>
      </c>
      <c r="K269" s="61" t="s">
        <v>71</v>
      </c>
      <c r="L269" s="61"/>
      <c r="M269" s="75" t="n">
        <v>46515</v>
      </c>
      <c r="N269" s="75"/>
      <c r="O269" s="75"/>
      <c r="P269" s="75"/>
      <c r="Q269" s="76" t="str">
        <f aca="false">IF(AND(M269="",N269="",O269="",P269=""),"COMPLETAR",IF(P269&lt;&gt;"",IF(O269="","Finalizado",IF(P269&lt;O269,"Finalizado anticipado",IF(P269=O269,"Finalizado","Finalizado con desfase"))),IF(N269&lt;&gt;"",IF(O269="","No planificado",IF(O269&lt;='Tablas y Glosario'!$F$1,"Atrasado",IF(M269="","En curso",IF(N269&gt;M269,"Inicio retrasado",IF(N269&lt;M269,"Inicio anticipado","En curso"))))),IF(M269="","COMPLETAR",IF('Tablas y Glosario'!$F$1&gt;=M269,"No iniciado","Programado")))))</f>
        <v>Programado</v>
      </c>
    </row>
    <row r="270" customFormat="false" ht="23.85" hidden="false" customHeight="false" outlineLevel="0" collapsed="false">
      <c r="A270" s="67"/>
      <c r="B270" s="68" t="s">
        <v>66</v>
      </c>
      <c r="C270" s="67" t="s">
        <v>156</v>
      </c>
      <c r="D270" s="68" t="s">
        <v>78</v>
      </c>
      <c r="E270" s="69" t="s">
        <v>203</v>
      </c>
      <c r="F270" s="69" t="s">
        <v>204</v>
      </c>
      <c r="G270" s="67" t="s">
        <v>103</v>
      </c>
      <c r="H270" s="70" t="s">
        <v>211</v>
      </c>
      <c r="I270" s="69" t="s">
        <v>212</v>
      </c>
      <c r="J270" s="69" t="s">
        <v>213</v>
      </c>
      <c r="K270" s="67" t="s">
        <v>71</v>
      </c>
      <c r="L270" s="67"/>
      <c r="M270" s="71" t="n">
        <v>46516</v>
      </c>
      <c r="N270" s="71"/>
      <c r="O270" s="71"/>
      <c r="P270" s="71"/>
      <c r="Q270" s="72" t="str">
        <f aca="false">IF(AND(M270="",N270="",O270="",P270=""),"COMPLETAR",IF(P270&lt;&gt;"",IF(O270="","Finalizado",IF(P270&lt;O270,"Finalizado anticipado",IF(P270=O270,"Finalizado","Finalizado con desfase"))),IF(N270&lt;&gt;"",IF(O270="","No planificado",IF(O270&lt;='Tablas y Glosario'!$F$1,"Atrasado",IF(M270="","En curso",IF(N270&gt;M270,"Inicio retrasado",IF(N270&lt;M270,"Inicio anticipado","En curso"))))),IF(M270="","COMPLETAR",IF('Tablas y Glosario'!$F$1&gt;=M270,"No iniciado","Programado")))))</f>
        <v>Programado</v>
      </c>
    </row>
    <row r="271" customFormat="false" ht="23.85" hidden="false" customHeight="false" outlineLevel="0" collapsed="false">
      <c r="A271" s="61"/>
      <c r="B271" s="60" t="s">
        <v>66</v>
      </c>
      <c r="C271" s="61" t="s">
        <v>156</v>
      </c>
      <c r="D271" s="60" t="s">
        <v>78</v>
      </c>
      <c r="E271" s="73" t="s">
        <v>203</v>
      </c>
      <c r="F271" s="73" t="s">
        <v>204</v>
      </c>
      <c r="G271" s="61" t="s">
        <v>104</v>
      </c>
      <c r="H271" s="74" t="s">
        <v>214</v>
      </c>
      <c r="I271" s="73" t="s">
        <v>215</v>
      </c>
      <c r="J271" s="73" t="s">
        <v>216</v>
      </c>
      <c r="K271" s="61" t="s">
        <v>71</v>
      </c>
      <c r="L271" s="61"/>
      <c r="M271" s="75" t="n">
        <v>46517</v>
      </c>
      <c r="N271" s="75"/>
      <c r="O271" s="75"/>
      <c r="P271" s="75"/>
      <c r="Q271" s="76" t="str">
        <f aca="false">IF(AND(M271="",N271="",O271="",P271=""),"COMPLETAR",IF(P271&lt;&gt;"",IF(O271="","Finalizado",IF(P271&lt;O271,"Finalizado anticipado",IF(P271=O271,"Finalizado","Finalizado con desfase"))),IF(N271&lt;&gt;"",IF(O271="","No planificado",IF(O271&lt;='Tablas y Glosario'!$F$1,"Atrasado",IF(M271="","En curso",IF(N271&gt;M271,"Inicio retrasado",IF(N271&lt;M271,"Inicio anticipado","En curso"))))),IF(M271="","COMPLETAR",IF('Tablas y Glosario'!$F$1&gt;=M271,"No iniciado","Programado")))))</f>
        <v>Programado</v>
      </c>
    </row>
    <row r="272" customFormat="false" ht="35.05" hidden="false" customHeight="false" outlineLevel="0" collapsed="false">
      <c r="A272" s="67"/>
      <c r="B272" s="68" t="s">
        <v>66</v>
      </c>
      <c r="C272" s="67" t="s">
        <v>156</v>
      </c>
      <c r="D272" s="68" t="s">
        <v>79</v>
      </c>
      <c r="E272" s="69" t="s">
        <v>217</v>
      </c>
      <c r="F272" s="69" t="s">
        <v>218</v>
      </c>
      <c r="G272" s="67" t="s">
        <v>105</v>
      </c>
      <c r="H272" s="70" t="s">
        <v>219</v>
      </c>
      <c r="I272" s="69" t="s">
        <v>220</v>
      </c>
      <c r="J272" s="69" t="s">
        <v>221</v>
      </c>
      <c r="K272" s="67" t="s">
        <v>70</v>
      </c>
      <c r="L272" s="67"/>
      <c r="M272" s="71" t="n">
        <v>46518</v>
      </c>
      <c r="N272" s="71"/>
      <c r="O272" s="71"/>
      <c r="P272" s="71"/>
      <c r="Q272" s="72" t="str">
        <f aca="false">IF(AND(M272="",N272="",O272="",P272=""),"COMPLETAR",IF(P272&lt;&gt;"",IF(O272="","Finalizado",IF(P272&lt;O272,"Finalizado anticipado",IF(P272=O272,"Finalizado","Finalizado con desfase"))),IF(N272&lt;&gt;"",IF(O272="","No planificado",IF(O272&lt;='Tablas y Glosario'!$F$1,"Atrasado",IF(M272="","En curso",IF(N272&gt;M272,"Inicio retrasado",IF(N272&lt;M272,"Inicio anticipado","En curso"))))),IF(M272="","COMPLETAR",IF('Tablas y Glosario'!$F$1&gt;=M272,"No iniciado","Programado")))))</f>
        <v>Programado</v>
      </c>
    </row>
    <row r="273" customFormat="false" ht="35.05" hidden="false" customHeight="false" outlineLevel="0" collapsed="false">
      <c r="A273" s="61"/>
      <c r="B273" s="60" t="s">
        <v>66</v>
      </c>
      <c r="C273" s="61" t="s">
        <v>156</v>
      </c>
      <c r="D273" s="60" t="s">
        <v>79</v>
      </c>
      <c r="E273" s="73" t="s">
        <v>217</v>
      </c>
      <c r="F273" s="73" t="s">
        <v>218</v>
      </c>
      <c r="G273" s="61" t="s">
        <v>106</v>
      </c>
      <c r="H273" s="74" t="s">
        <v>222</v>
      </c>
      <c r="I273" s="73" t="s">
        <v>223</v>
      </c>
      <c r="J273" s="73" t="s">
        <v>224</v>
      </c>
      <c r="K273" s="61" t="s">
        <v>70</v>
      </c>
      <c r="L273" s="61"/>
      <c r="M273" s="75" t="n">
        <v>46519</v>
      </c>
      <c r="N273" s="75"/>
      <c r="O273" s="75"/>
      <c r="P273" s="75"/>
      <c r="Q273" s="76" t="str">
        <f aca="false">IF(AND(M273="",N273="",O273="",P273=""),"COMPLETAR",IF(P273&lt;&gt;"",IF(O273="","Finalizado",IF(P273&lt;O273,"Finalizado anticipado",IF(P273=O273,"Finalizado","Finalizado con desfase"))),IF(N273&lt;&gt;"",IF(O273="","No planificado",IF(O273&lt;='Tablas y Glosario'!$F$1,"Atrasado",IF(M273="","En curso",IF(N273&gt;M273,"Inicio retrasado",IF(N273&lt;M273,"Inicio anticipado","En curso"))))),IF(M273="","COMPLETAR",IF('Tablas y Glosario'!$F$1&gt;=M273,"No iniciado","Programado")))))</f>
        <v>Programado</v>
      </c>
    </row>
    <row r="274" customFormat="false" ht="35.05" hidden="false" customHeight="false" outlineLevel="0" collapsed="false">
      <c r="A274" s="67"/>
      <c r="B274" s="68" t="s">
        <v>66</v>
      </c>
      <c r="C274" s="67" t="s">
        <v>156</v>
      </c>
      <c r="D274" s="68" t="s">
        <v>79</v>
      </c>
      <c r="E274" s="69" t="s">
        <v>217</v>
      </c>
      <c r="F274" s="69" t="s">
        <v>218</v>
      </c>
      <c r="G274" s="67" t="s">
        <v>107</v>
      </c>
      <c r="H274" s="70" t="s">
        <v>225</v>
      </c>
      <c r="I274" s="69" t="s">
        <v>226</v>
      </c>
      <c r="J274" s="69" t="s">
        <v>227</v>
      </c>
      <c r="K274" s="67" t="s">
        <v>71</v>
      </c>
      <c r="L274" s="67"/>
      <c r="M274" s="71" t="n">
        <v>46520</v>
      </c>
      <c r="N274" s="71"/>
      <c r="O274" s="71"/>
      <c r="P274" s="71"/>
      <c r="Q274" s="72" t="str">
        <f aca="false">IF(AND(M274="",N274="",O274="",P274=""),"COMPLETAR",IF(P274&lt;&gt;"",IF(O274="","Finalizado",IF(P274&lt;O274,"Finalizado anticipado",IF(P274=O274,"Finalizado","Finalizado con desfase"))),IF(N274&lt;&gt;"",IF(O274="","No planificado",IF(O274&lt;='Tablas y Glosario'!$F$1,"Atrasado",IF(M274="","En curso",IF(N274&gt;M274,"Inicio retrasado",IF(N274&lt;M274,"Inicio anticipado","En curso"))))),IF(M274="","COMPLETAR",IF('Tablas y Glosario'!$F$1&gt;=M274,"No iniciado","Programado")))))</f>
        <v>Programado</v>
      </c>
    </row>
    <row r="275" customFormat="false" ht="35.05" hidden="false" customHeight="false" outlineLevel="0" collapsed="false">
      <c r="A275" s="61"/>
      <c r="B275" s="60" t="s">
        <v>66</v>
      </c>
      <c r="C275" s="61" t="s">
        <v>156</v>
      </c>
      <c r="D275" s="60" t="s">
        <v>79</v>
      </c>
      <c r="E275" s="73" t="s">
        <v>217</v>
      </c>
      <c r="F275" s="73" t="s">
        <v>218</v>
      </c>
      <c r="G275" s="61" t="s">
        <v>108</v>
      </c>
      <c r="H275" s="74" t="s">
        <v>228</v>
      </c>
      <c r="I275" s="73" t="s">
        <v>229</v>
      </c>
      <c r="J275" s="73" t="s">
        <v>230</v>
      </c>
      <c r="K275" s="61" t="s">
        <v>71</v>
      </c>
      <c r="L275" s="61"/>
      <c r="M275" s="75" t="n">
        <v>46521</v>
      </c>
      <c r="N275" s="75"/>
      <c r="O275" s="75"/>
      <c r="P275" s="75"/>
      <c r="Q275" s="76" t="str">
        <f aca="false">IF(AND(M275="",N275="",O275="",P275=""),"COMPLETAR",IF(P275&lt;&gt;"",IF(O275="","Finalizado",IF(P275&lt;O275,"Finalizado anticipado",IF(P275=O275,"Finalizado","Finalizado con desfase"))),IF(N275&lt;&gt;"",IF(O275="","No planificado",IF(O275&lt;='Tablas y Glosario'!$F$1,"Atrasado",IF(M275="","En curso",IF(N275&gt;M275,"Inicio retrasado",IF(N275&lt;M275,"Inicio anticipado","En curso"))))),IF(M275="","COMPLETAR",IF('Tablas y Glosario'!$F$1&gt;=M275,"No iniciado","Programado")))))</f>
        <v>Programado</v>
      </c>
    </row>
    <row r="276" customFormat="false" ht="35.05" hidden="false" customHeight="false" outlineLevel="0" collapsed="false">
      <c r="A276" s="67"/>
      <c r="B276" s="68" t="s">
        <v>66</v>
      </c>
      <c r="C276" s="67" t="s">
        <v>156</v>
      </c>
      <c r="D276" s="68" t="s">
        <v>79</v>
      </c>
      <c r="E276" s="69" t="s">
        <v>217</v>
      </c>
      <c r="F276" s="69" t="s">
        <v>218</v>
      </c>
      <c r="G276" s="67" t="s">
        <v>109</v>
      </c>
      <c r="H276" s="70" t="s">
        <v>222</v>
      </c>
      <c r="I276" s="69" t="s">
        <v>231</v>
      </c>
      <c r="J276" s="69" t="s">
        <v>232</v>
      </c>
      <c r="K276" s="67" t="s">
        <v>70</v>
      </c>
      <c r="L276" s="67"/>
      <c r="M276" s="71" t="n">
        <v>46522</v>
      </c>
      <c r="N276" s="71"/>
      <c r="O276" s="71"/>
      <c r="P276" s="71"/>
      <c r="Q276" s="72" t="str">
        <f aca="false">IF(AND(M276="",N276="",O276="",P276=""),"COMPLETAR",IF(P276&lt;&gt;"",IF(O276="","Finalizado",IF(P276&lt;O276,"Finalizado anticipado",IF(P276=O276,"Finalizado","Finalizado con desfase"))),IF(N276&lt;&gt;"",IF(O276="","No planificado",IF(O276&lt;='Tablas y Glosario'!$F$1,"Atrasado",IF(M276="","En curso",IF(N276&gt;M276,"Inicio retrasado",IF(N276&lt;M276,"Inicio anticipado","En curso"))))),IF(M276="","COMPLETAR",IF('Tablas y Glosario'!$F$1&gt;=M276,"No iniciado","Programado")))))</f>
        <v>Programado</v>
      </c>
    </row>
    <row r="277" customFormat="false" ht="35.05" hidden="false" customHeight="false" outlineLevel="0" collapsed="false">
      <c r="A277" s="61"/>
      <c r="B277" s="60" t="s">
        <v>66</v>
      </c>
      <c r="C277" s="61" t="s">
        <v>156</v>
      </c>
      <c r="D277" s="60" t="s">
        <v>79</v>
      </c>
      <c r="E277" s="73" t="s">
        <v>217</v>
      </c>
      <c r="F277" s="73" t="s">
        <v>218</v>
      </c>
      <c r="G277" s="61" t="s">
        <v>110</v>
      </c>
      <c r="H277" s="74" t="s">
        <v>233</v>
      </c>
      <c r="I277" s="73" t="s">
        <v>234</v>
      </c>
      <c r="J277" s="73" t="s">
        <v>235</v>
      </c>
      <c r="K277" s="61" t="s">
        <v>70</v>
      </c>
      <c r="L277" s="61"/>
      <c r="M277" s="75" t="n">
        <v>46523</v>
      </c>
      <c r="N277" s="75"/>
      <c r="O277" s="75"/>
      <c r="P277" s="75"/>
      <c r="Q277" s="76" t="str">
        <f aca="false">IF(AND(M277="",N277="",O277="",P277=""),"COMPLETAR",IF(P277&lt;&gt;"",IF(O277="","Finalizado",IF(P277&lt;O277,"Finalizado anticipado",IF(P277=O277,"Finalizado","Finalizado con desfase"))),IF(N277&lt;&gt;"",IF(O277="","No planificado",IF(O277&lt;='Tablas y Glosario'!$F$1,"Atrasado",IF(M277="","En curso",IF(N277&gt;M277,"Inicio retrasado",IF(N277&lt;M277,"Inicio anticipado","En curso"))))),IF(M277="","COMPLETAR",IF('Tablas y Glosario'!$F$1&gt;=M277,"No iniciado","Programado")))))</f>
        <v>Programado</v>
      </c>
    </row>
    <row r="278" customFormat="false" ht="35.05" hidden="false" customHeight="false" outlineLevel="0" collapsed="false">
      <c r="A278" s="67"/>
      <c r="B278" s="68" t="s">
        <v>66</v>
      </c>
      <c r="C278" s="67" t="s">
        <v>156</v>
      </c>
      <c r="D278" s="68" t="s">
        <v>80</v>
      </c>
      <c r="E278" s="69" t="s">
        <v>236</v>
      </c>
      <c r="F278" s="69" t="s">
        <v>237</v>
      </c>
      <c r="G278" s="67" t="s">
        <v>111</v>
      </c>
      <c r="H278" s="70" t="s">
        <v>238</v>
      </c>
      <c r="I278" s="69" t="s">
        <v>239</v>
      </c>
      <c r="J278" s="69" t="s">
        <v>240</v>
      </c>
      <c r="K278" s="67" t="s">
        <v>70</v>
      </c>
      <c r="L278" s="67"/>
      <c r="M278" s="71" t="n">
        <v>46524</v>
      </c>
      <c r="N278" s="71"/>
      <c r="O278" s="71"/>
      <c r="P278" s="71"/>
      <c r="Q278" s="72" t="str">
        <f aca="false">IF(AND(M278="",N278="",O278="",P278=""),"COMPLETAR",IF(P278&lt;&gt;"",IF(O278="","Finalizado",IF(P278&lt;O278,"Finalizado anticipado",IF(P278=O278,"Finalizado","Finalizado con desfase"))),IF(N278&lt;&gt;"",IF(O278="","No planificado",IF(O278&lt;='Tablas y Glosario'!$F$1,"Atrasado",IF(M278="","En curso",IF(N278&gt;M278,"Inicio retrasado",IF(N278&lt;M278,"Inicio anticipado","En curso"))))),IF(M278="","COMPLETAR",IF('Tablas y Glosario'!$F$1&gt;=M278,"No iniciado","Programado")))))</f>
        <v>Programado</v>
      </c>
    </row>
    <row r="279" customFormat="false" ht="35.05" hidden="false" customHeight="false" outlineLevel="0" collapsed="false">
      <c r="A279" s="61"/>
      <c r="B279" s="60" t="s">
        <v>66</v>
      </c>
      <c r="C279" s="61" t="s">
        <v>156</v>
      </c>
      <c r="D279" s="60" t="s">
        <v>80</v>
      </c>
      <c r="E279" s="73" t="s">
        <v>236</v>
      </c>
      <c r="F279" s="73" t="s">
        <v>237</v>
      </c>
      <c r="G279" s="61" t="s">
        <v>112</v>
      </c>
      <c r="H279" s="74" t="s">
        <v>241</v>
      </c>
      <c r="I279" s="73" t="s">
        <v>242</v>
      </c>
      <c r="J279" s="73" t="s">
        <v>243</v>
      </c>
      <c r="K279" s="61" t="s">
        <v>71</v>
      </c>
      <c r="L279" s="61"/>
      <c r="M279" s="75" t="n">
        <v>46525</v>
      </c>
      <c r="N279" s="75"/>
      <c r="O279" s="75"/>
      <c r="P279" s="75"/>
      <c r="Q279" s="76" t="str">
        <f aca="false">IF(AND(M279="",N279="",O279="",P279=""),"COMPLETAR",IF(P279&lt;&gt;"",IF(O279="","Finalizado",IF(P279&lt;O279,"Finalizado anticipado",IF(P279=O279,"Finalizado","Finalizado con desfase"))),IF(N279&lt;&gt;"",IF(O279="","No planificado",IF(O279&lt;='Tablas y Glosario'!$F$1,"Atrasado",IF(M279="","En curso",IF(N279&gt;M279,"Inicio retrasado",IF(N279&lt;M279,"Inicio anticipado","En curso"))))),IF(M279="","COMPLETAR",IF('Tablas y Glosario'!$F$1&gt;=M279,"No iniciado","Programado")))))</f>
        <v>Programado</v>
      </c>
    </row>
    <row r="280" customFormat="false" ht="35.05" hidden="false" customHeight="false" outlineLevel="0" collapsed="false">
      <c r="A280" s="67"/>
      <c r="B280" s="68" t="s">
        <v>66</v>
      </c>
      <c r="C280" s="67" t="s">
        <v>156</v>
      </c>
      <c r="D280" s="68" t="s">
        <v>80</v>
      </c>
      <c r="E280" s="69" t="s">
        <v>236</v>
      </c>
      <c r="F280" s="69" t="s">
        <v>237</v>
      </c>
      <c r="G280" s="67" t="s">
        <v>113</v>
      </c>
      <c r="H280" s="70" t="s">
        <v>244</v>
      </c>
      <c r="I280" s="69" t="s">
        <v>245</v>
      </c>
      <c r="J280" s="69" t="s">
        <v>246</v>
      </c>
      <c r="K280" s="67" t="s">
        <v>71</v>
      </c>
      <c r="L280" s="67"/>
      <c r="M280" s="71" t="n">
        <v>46526</v>
      </c>
      <c r="N280" s="71"/>
      <c r="O280" s="71"/>
      <c r="P280" s="71"/>
      <c r="Q280" s="72" t="str">
        <f aca="false">IF(AND(M280="",N280="",O280="",P280=""),"COMPLETAR",IF(P280&lt;&gt;"",IF(O280="","Finalizado",IF(P280&lt;O280,"Finalizado anticipado",IF(P280=O280,"Finalizado","Finalizado con desfase"))),IF(N280&lt;&gt;"",IF(O280="","No planificado",IF(O280&lt;='Tablas y Glosario'!$F$1,"Atrasado",IF(M280="","En curso",IF(N280&gt;M280,"Inicio retrasado",IF(N280&lt;M280,"Inicio anticipado","En curso"))))),IF(M280="","COMPLETAR",IF('Tablas y Glosario'!$F$1&gt;=M280,"No iniciado","Programado")))))</f>
        <v>Programado</v>
      </c>
    </row>
    <row r="281" customFormat="false" ht="35.05" hidden="false" customHeight="false" outlineLevel="0" collapsed="false">
      <c r="A281" s="61"/>
      <c r="B281" s="60" t="s">
        <v>66</v>
      </c>
      <c r="C281" s="61" t="s">
        <v>156</v>
      </c>
      <c r="D281" s="60" t="s">
        <v>80</v>
      </c>
      <c r="E281" s="73" t="s">
        <v>236</v>
      </c>
      <c r="F281" s="73" t="s">
        <v>237</v>
      </c>
      <c r="G281" s="61" t="s">
        <v>103</v>
      </c>
      <c r="H281" s="74" t="s">
        <v>247</v>
      </c>
      <c r="I281" s="73" t="s">
        <v>248</v>
      </c>
      <c r="J281" s="73" t="s">
        <v>249</v>
      </c>
      <c r="K281" s="61" t="s">
        <v>71</v>
      </c>
      <c r="L281" s="61"/>
      <c r="M281" s="75" t="n">
        <v>46527</v>
      </c>
      <c r="N281" s="75"/>
      <c r="O281" s="75"/>
      <c r="P281" s="75"/>
      <c r="Q281" s="76" t="str">
        <f aca="false">IF(AND(M281="",N281="",O281="",P281=""),"COMPLETAR",IF(P281&lt;&gt;"",IF(O281="","Finalizado",IF(P281&lt;O281,"Finalizado anticipado",IF(P281=O281,"Finalizado","Finalizado con desfase"))),IF(N281&lt;&gt;"",IF(O281="","No planificado",IF(O281&lt;='Tablas y Glosario'!$F$1,"Atrasado",IF(M281="","En curso",IF(N281&gt;M281,"Inicio retrasado",IF(N281&lt;M281,"Inicio anticipado","En curso"))))),IF(M281="","COMPLETAR",IF('Tablas y Glosario'!$F$1&gt;=M281,"No iniciado","Programado")))))</f>
        <v>Programado</v>
      </c>
    </row>
    <row r="282" customFormat="false" ht="35.05" hidden="false" customHeight="false" outlineLevel="0" collapsed="false">
      <c r="A282" s="67"/>
      <c r="B282" s="68" t="s">
        <v>66</v>
      </c>
      <c r="C282" s="67" t="s">
        <v>156</v>
      </c>
      <c r="D282" s="68" t="s">
        <v>80</v>
      </c>
      <c r="E282" s="69" t="s">
        <v>236</v>
      </c>
      <c r="F282" s="69" t="s">
        <v>237</v>
      </c>
      <c r="G282" s="67" t="s">
        <v>114</v>
      </c>
      <c r="H282" s="70" t="s">
        <v>250</v>
      </c>
      <c r="I282" s="69" t="s">
        <v>251</v>
      </c>
      <c r="J282" s="69" t="s">
        <v>252</v>
      </c>
      <c r="K282" s="67" t="s">
        <v>70</v>
      </c>
      <c r="L282" s="67"/>
      <c r="M282" s="71" t="n">
        <v>46528</v>
      </c>
      <c r="N282" s="71"/>
      <c r="O282" s="71"/>
      <c r="P282" s="71"/>
      <c r="Q282" s="72" t="str">
        <f aca="false">IF(AND(M282="",N282="",O282="",P282=""),"COMPLETAR",IF(P282&lt;&gt;"",IF(O282="","Finalizado",IF(P282&lt;O282,"Finalizado anticipado",IF(P282=O282,"Finalizado","Finalizado con desfase"))),IF(N282&lt;&gt;"",IF(O282="","No planificado",IF(O282&lt;='Tablas y Glosario'!$F$1,"Atrasado",IF(M282="","En curso",IF(N282&gt;M282,"Inicio retrasado",IF(N282&lt;M282,"Inicio anticipado","En curso"))))),IF(M282="","COMPLETAR",IF('Tablas y Glosario'!$F$1&gt;=M282,"No iniciado","Programado")))))</f>
        <v>Programado</v>
      </c>
    </row>
    <row r="283" customFormat="false" ht="35.05" hidden="false" customHeight="false" outlineLevel="0" collapsed="false">
      <c r="A283" s="61"/>
      <c r="B283" s="60" t="s">
        <v>66</v>
      </c>
      <c r="C283" s="61" t="s">
        <v>156</v>
      </c>
      <c r="D283" s="60" t="s">
        <v>81</v>
      </c>
      <c r="E283" s="73" t="s">
        <v>253</v>
      </c>
      <c r="F283" s="73" t="s">
        <v>254</v>
      </c>
      <c r="G283" s="61" t="s">
        <v>115</v>
      </c>
      <c r="H283" s="74" t="s">
        <v>255</v>
      </c>
      <c r="I283" s="73" t="s">
        <v>256</v>
      </c>
      <c r="J283" s="73" t="s">
        <v>257</v>
      </c>
      <c r="K283" s="61" t="s">
        <v>71</v>
      </c>
      <c r="L283" s="61"/>
      <c r="M283" s="75" t="n">
        <v>46529</v>
      </c>
      <c r="N283" s="75"/>
      <c r="O283" s="75"/>
      <c r="P283" s="75"/>
      <c r="Q283" s="76" t="str">
        <f aca="false">IF(AND(M283="",N283="",O283="",P283=""),"COMPLETAR",IF(P283&lt;&gt;"",IF(O283="","Finalizado",IF(P283&lt;O283,"Finalizado anticipado",IF(P283=O283,"Finalizado","Finalizado con desfase"))),IF(N283&lt;&gt;"",IF(O283="","No planificado",IF(O283&lt;='Tablas y Glosario'!$F$1,"Atrasado",IF(M283="","En curso",IF(N283&gt;M283,"Inicio retrasado",IF(N283&lt;M283,"Inicio anticipado","En curso"))))),IF(M283="","COMPLETAR",IF('Tablas y Glosario'!$F$1&gt;=M283,"No iniciado","Programado")))))</f>
        <v>Programado</v>
      </c>
    </row>
    <row r="284" customFormat="false" ht="35.05" hidden="false" customHeight="false" outlineLevel="0" collapsed="false">
      <c r="A284" s="67"/>
      <c r="B284" s="68" t="s">
        <v>66</v>
      </c>
      <c r="C284" s="67" t="s">
        <v>156</v>
      </c>
      <c r="D284" s="68" t="s">
        <v>81</v>
      </c>
      <c r="E284" s="69" t="s">
        <v>253</v>
      </c>
      <c r="F284" s="69" t="s">
        <v>254</v>
      </c>
      <c r="G284" s="67" t="s">
        <v>116</v>
      </c>
      <c r="H284" s="70" t="s">
        <v>258</v>
      </c>
      <c r="I284" s="69" t="s">
        <v>259</v>
      </c>
      <c r="J284" s="69" t="s">
        <v>260</v>
      </c>
      <c r="K284" s="67" t="s">
        <v>71</v>
      </c>
      <c r="L284" s="67"/>
      <c r="M284" s="71" t="n">
        <v>46530</v>
      </c>
      <c r="N284" s="71"/>
      <c r="O284" s="71"/>
      <c r="P284" s="71"/>
      <c r="Q284" s="72" t="str">
        <f aca="false">IF(AND(M284="",N284="",O284="",P284=""),"COMPLETAR",IF(P284&lt;&gt;"",IF(O284="","Finalizado",IF(P284&lt;O284,"Finalizado anticipado",IF(P284=O284,"Finalizado","Finalizado con desfase"))),IF(N284&lt;&gt;"",IF(O284="","No planificado",IF(O284&lt;='Tablas y Glosario'!$F$1,"Atrasado",IF(M284="","En curso",IF(N284&gt;M284,"Inicio retrasado",IF(N284&lt;M284,"Inicio anticipado","En curso"))))),IF(M284="","COMPLETAR",IF('Tablas y Glosario'!$F$1&gt;=M284,"No iniciado","Programado")))))</f>
        <v>Programado</v>
      </c>
    </row>
    <row r="285" customFormat="false" ht="35.05" hidden="false" customHeight="false" outlineLevel="0" collapsed="false">
      <c r="A285" s="61"/>
      <c r="B285" s="60" t="s">
        <v>66</v>
      </c>
      <c r="C285" s="61" t="s">
        <v>156</v>
      </c>
      <c r="D285" s="60" t="s">
        <v>81</v>
      </c>
      <c r="E285" s="73" t="s">
        <v>253</v>
      </c>
      <c r="F285" s="73" t="s">
        <v>254</v>
      </c>
      <c r="G285" s="61" t="s">
        <v>117</v>
      </c>
      <c r="H285" s="74" t="s">
        <v>261</v>
      </c>
      <c r="I285" s="73" t="s">
        <v>262</v>
      </c>
      <c r="J285" s="73" t="s">
        <v>263</v>
      </c>
      <c r="K285" s="61" t="s">
        <v>71</v>
      </c>
      <c r="L285" s="61"/>
      <c r="M285" s="75" t="n">
        <v>46531</v>
      </c>
      <c r="N285" s="75"/>
      <c r="O285" s="75"/>
      <c r="P285" s="75"/>
      <c r="Q285" s="76" t="str">
        <f aca="false">IF(AND(M285="",N285="",O285="",P285=""),"COMPLETAR",IF(P285&lt;&gt;"",IF(O285="","Finalizado",IF(P285&lt;O285,"Finalizado anticipado",IF(P285=O285,"Finalizado","Finalizado con desfase"))),IF(N285&lt;&gt;"",IF(O285="","No planificado",IF(O285&lt;='Tablas y Glosario'!$F$1,"Atrasado",IF(M285="","En curso",IF(N285&gt;M285,"Inicio retrasado",IF(N285&lt;M285,"Inicio anticipado","En curso"))))),IF(M285="","COMPLETAR",IF('Tablas y Glosario'!$F$1&gt;=M285,"No iniciado","Programado")))))</f>
        <v>Programado</v>
      </c>
    </row>
    <row r="286" customFormat="false" ht="35.05" hidden="false" customHeight="false" outlineLevel="0" collapsed="false">
      <c r="A286" s="67"/>
      <c r="B286" s="68" t="s">
        <v>66</v>
      </c>
      <c r="C286" s="67" t="s">
        <v>156</v>
      </c>
      <c r="D286" s="68" t="s">
        <v>81</v>
      </c>
      <c r="E286" s="69" t="s">
        <v>253</v>
      </c>
      <c r="F286" s="69" t="s">
        <v>254</v>
      </c>
      <c r="G286" s="67" t="s">
        <v>118</v>
      </c>
      <c r="H286" s="70" t="s">
        <v>264</v>
      </c>
      <c r="I286" s="69" t="s">
        <v>265</v>
      </c>
      <c r="J286" s="69" t="s">
        <v>266</v>
      </c>
      <c r="K286" s="67" t="s">
        <v>71</v>
      </c>
      <c r="L286" s="67"/>
      <c r="M286" s="71" t="n">
        <v>46532</v>
      </c>
      <c r="N286" s="71"/>
      <c r="O286" s="71"/>
      <c r="P286" s="71"/>
      <c r="Q286" s="72" t="str">
        <f aca="false">IF(AND(M286="",N286="",O286="",P286=""),"COMPLETAR",IF(P286&lt;&gt;"",IF(O286="","Finalizado",IF(P286&lt;O286,"Finalizado anticipado",IF(P286=O286,"Finalizado","Finalizado con desfase"))),IF(N286&lt;&gt;"",IF(O286="","No planificado",IF(O286&lt;='Tablas y Glosario'!$F$1,"Atrasado",IF(M286="","En curso",IF(N286&gt;M286,"Inicio retrasado",IF(N286&lt;M286,"Inicio anticipado","En curso"))))),IF(M286="","COMPLETAR",IF('Tablas y Glosario'!$F$1&gt;=M286,"No iniciado","Programado")))))</f>
        <v>Programado</v>
      </c>
    </row>
    <row r="287" customFormat="false" ht="35.05" hidden="false" customHeight="false" outlineLevel="0" collapsed="false">
      <c r="A287" s="61"/>
      <c r="B287" s="60" t="s">
        <v>66</v>
      </c>
      <c r="C287" s="61" t="s">
        <v>156</v>
      </c>
      <c r="D287" s="60" t="s">
        <v>81</v>
      </c>
      <c r="E287" s="73" t="s">
        <v>253</v>
      </c>
      <c r="F287" s="73" t="s">
        <v>254</v>
      </c>
      <c r="G287" s="61" t="s">
        <v>119</v>
      </c>
      <c r="H287" s="74" t="s">
        <v>267</v>
      </c>
      <c r="I287" s="73" t="s">
        <v>268</v>
      </c>
      <c r="J287" s="73" t="s">
        <v>269</v>
      </c>
      <c r="K287" s="61" t="s">
        <v>71</v>
      </c>
      <c r="L287" s="61"/>
      <c r="M287" s="75" t="n">
        <v>46533</v>
      </c>
      <c r="N287" s="75"/>
      <c r="O287" s="75"/>
      <c r="P287" s="75"/>
      <c r="Q287" s="76" t="str">
        <f aca="false">IF(AND(M287="",N287="",O287="",P287=""),"COMPLETAR",IF(P287&lt;&gt;"",IF(O287="","Finalizado",IF(P287&lt;O287,"Finalizado anticipado",IF(P287=O287,"Finalizado","Finalizado con desfase"))),IF(N287&lt;&gt;"",IF(O287="","No planificado",IF(O287&lt;='Tablas y Glosario'!$F$1,"Atrasado",IF(M287="","En curso",IF(N287&gt;M287,"Inicio retrasado",IF(N287&lt;M287,"Inicio anticipado","En curso"))))),IF(M287="","COMPLETAR",IF('Tablas y Glosario'!$F$1&gt;=M287,"No iniciado","Programado")))))</f>
        <v>Programado</v>
      </c>
    </row>
    <row r="288" customFormat="false" ht="35.05" hidden="false" customHeight="false" outlineLevel="0" collapsed="false">
      <c r="A288" s="67"/>
      <c r="B288" s="68" t="s">
        <v>66</v>
      </c>
      <c r="C288" s="67" t="s">
        <v>156</v>
      </c>
      <c r="D288" s="68" t="s">
        <v>81</v>
      </c>
      <c r="E288" s="69" t="s">
        <v>253</v>
      </c>
      <c r="F288" s="69" t="s">
        <v>254</v>
      </c>
      <c r="G288" s="67" t="s">
        <v>120</v>
      </c>
      <c r="H288" s="70" t="s">
        <v>270</v>
      </c>
      <c r="I288" s="69" t="s">
        <v>271</v>
      </c>
      <c r="J288" s="69" t="s">
        <v>272</v>
      </c>
      <c r="K288" s="67" t="s">
        <v>70</v>
      </c>
      <c r="L288" s="67"/>
      <c r="M288" s="71" t="n">
        <v>46534</v>
      </c>
      <c r="N288" s="71"/>
      <c r="O288" s="71"/>
      <c r="P288" s="71"/>
      <c r="Q288" s="72" t="str">
        <f aca="false">IF(AND(M288="",N288="",O288="",P288=""),"COMPLETAR",IF(P288&lt;&gt;"",IF(O288="","Finalizado",IF(P288&lt;O288,"Finalizado anticipado",IF(P288=O288,"Finalizado","Finalizado con desfase"))),IF(N288&lt;&gt;"",IF(O288="","No planificado",IF(O288&lt;='Tablas y Glosario'!$F$1,"Atrasado",IF(M288="","En curso",IF(N288&gt;M288,"Inicio retrasado",IF(N288&lt;M288,"Inicio anticipado","En curso"))))),IF(M288="","COMPLETAR",IF('Tablas y Glosario'!$F$1&gt;=M288,"No iniciado","Programado")))))</f>
        <v>Programado</v>
      </c>
    </row>
    <row r="289" customFormat="false" ht="35.05" hidden="false" customHeight="false" outlineLevel="0" collapsed="false">
      <c r="A289" s="61"/>
      <c r="B289" s="60" t="s">
        <v>66</v>
      </c>
      <c r="C289" s="61" t="s">
        <v>156</v>
      </c>
      <c r="D289" s="60" t="s">
        <v>82</v>
      </c>
      <c r="E289" s="73" t="s">
        <v>273</v>
      </c>
      <c r="F289" s="73" t="s">
        <v>274</v>
      </c>
      <c r="G289" s="61" t="s">
        <v>121</v>
      </c>
      <c r="H289" s="74" t="s">
        <v>275</v>
      </c>
      <c r="I289" s="73" t="s">
        <v>276</v>
      </c>
      <c r="J289" s="73" t="s">
        <v>277</v>
      </c>
      <c r="K289" s="61" t="s">
        <v>71</v>
      </c>
      <c r="L289" s="61"/>
      <c r="M289" s="75" t="n">
        <v>46535</v>
      </c>
      <c r="N289" s="75"/>
      <c r="O289" s="75"/>
      <c r="P289" s="75"/>
      <c r="Q289" s="76" t="str">
        <f aca="false">IF(AND(M289="",N289="",O289="",P289=""),"COMPLETAR",IF(P289&lt;&gt;"",IF(O289="","Finalizado",IF(P289&lt;O289,"Finalizado anticipado",IF(P289=O289,"Finalizado","Finalizado con desfase"))),IF(N289&lt;&gt;"",IF(O289="","No planificado",IF(O289&lt;='Tablas y Glosario'!$F$1,"Atrasado",IF(M289="","En curso",IF(N289&gt;M289,"Inicio retrasado",IF(N289&lt;M289,"Inicio anticipado","En curso"))))),IF(M289="","COMPLETAR",IF('Tablas y Glosario'!$F$1&gt;=M289,"No iniciado","Programado")))))</f>
        <v>Programado</v>
      </c>
    </row>
    <row r="290" customFormat="false" ht="35.05" hidden="false" customHeight="false" outlineLevel="0" collapsed="false">
      <c r="A290" s="67"/>
      <c r="B290" s="68" t="s">
        <v>66</v>
      </c>
      <c r="C290" s="67" t="s">
        <v>156</v>
      </c>
      <c r="D290" s="68" t="s">
        <v>82</v>
      </c>
      <c r="E290" s="69" t="s">
        <v>273</v>
      </c>
      <c r="F290" s="69" t="s">
        <v>274</v>
      </c>
      <c r="G290" s="67" t="s">
        <v>122</v>
      </c>
      <c r="H290" s="70" t="s">
        <v>278</v>
      </c>
      <c r="I290" s="69" t="s">
        <v>279</v>
      </c>
      <c r="J290" s="69" t="s">
        <v>280</v>
      </c>
      <c r="K290" s="67" t="s">
        <v>71</v>
      </c>
      <c r="L290" s="67"/>
      <c r="M290" s="71" t="n">
        <v>46536</v>
      </c>
      <c r="N290" s="71"/>
      <c r="O290" s="71"/>
      <c r="P290" s="71"/>
      <c r="Q290" s="72" t="str">
        <f aca="false">IF(AND(M290="",N290="",O290="",P290=""),"COMPLETAR",IF(P290&lt;&gt;"",IF(O290="","Finalizado",IF(P290&lt;O290,"Finalizado anticipado",IF(P290=O290,"Finalizado","Finalizado con desfase"))),IF(N290&lt;&gt;"",IF(O290="","No planificado",IF(O290&lt;='Tablas y Glosario'!$F$1,"Atrasado",IF(M290="","En curso",IF(N290&gt;M290,"Inicio retrasado",IF(N290&lt;M290,"Inicio anticipado","En curso"))))),IF(M290="","COMPLETAR",IF('Tablas y Glosario'!$F$1&gt;=M290,"No iniciado","Programado")))))</f>
        <v>Programado</v>
      </c>
    </row>
    <row r="291" customFormat="false" ht="35.05" hidden="false" customHeight="false" outlineLevel="0" collapsed="false">
      <c r="A291" s="61"/>
      <c r="B291" s="60" t="s">
        <v>66</v>
      </c>
      <c r="C291" s="61" t="s">
        <v>156</v>
      </c>
      <c r="D291" s="60" t="s">
        <v>82</v>
      </c>
      <c r="E291" s="73" t="s">
        <v>273</v>
      </c>
      <c r="F291" s="73" t="s">
        <v>274</v>
      </c>
      <c r="G291" s="61" t="s">
        <v>123</v>
      </c>
      <c r="H291" s="74" t="s">
        <v>281</v>
      </c>
      <c r="I291" s="73" t="s">
        <v>282</v>
      </c>
      <c r="J291" s="73" t="s">
        <v>227</v>
      </c>
      <c r="K291" s="61" t="s">
        <v>71</v>
      </c>
      <c r="L291" s="61"/>
      <c r="M291" s="75" t="n">
        <v>46537</v>
      </c>
      <c r="N291" s="75"/>
      <c r="O291" s="75"/>
      <c r="P291" s="75"/>
      <c r="Q291" s="76" t="str">
        <f aca="false">IF(AND(M291="",N291="",O291="",P291=""),"COMPLETAR",IF(P291&lt;&gt;"",IF(O291="","Finalizado",IF(P291&lt;O291,"Finalizado anticipado",IF(P291=O291,"Finalizado","Finalizado con desfase"))),IF(N291&lt;&gt;"",IF(O291="","No planificado",IF(O291&lt;='Tablas y Glosario'!$F$1,"Atrasado",IF(M291="","En curso",IF(N291&gt;M291,"Inicio retrasado",IF(N291&lt;M291,"Inicio anticipado","En curso"))))),IF(M291="","COMPLETAR",IF('Tablas y Glosario'!$F$1&gt;=M291,"No iniciado","Programado")))))</f>
        <v>Programado</v>
      </c>
    </row>
    <row r="292" customFormat="false" ht="46.25" hidden="false" customHeight="false" outlineLevel="0" collapsed="false">
      <c r="A292" s="67"/>
      <c r="B292" s="68" t="s">
        <v>66</v>
      </c>
      <c r="C292" s="67" t="s">
        <v>156</v>
      </c>
      <c r="D292" s="68" t="s">
        <v>83</v>
      </c>
      <c r="E292" s="69" t="s">
        <v>283</v>
      </c>
      <c r="F292" s="69" t="s">
        <v>284</v>
      </c>
      <c r="G292" s="67" t="s">
        <v>124</v>
      </c>
      <c r="H292" s="70" t="s">
        <v>285</v>
      </c>
      <c r="I292" s="69" t="s">
        <v>286</v>
      </c>
      <c r="J292" s="69" t="s">
        <v>287</v>
      </c>
      <c r="K292" s="67" t="s">
        <v>70</v>
      </c>
      <c r="L292" s="67"/>
      <c r="M292" s="71" t="n">
        <v>46538</v>
      </c>
      <c r="N292" s="71"/>
      <c r="O292" s="71"/>
      <c r="P292" s="71"/>
      <c r="Q292" s="72" t="str">
        <f aca="false">IF(AND(M292="",N292="",O292="",P292=""),"COMPLETAR",IF(P292&lt;&gt;"",IF(O292="","Finalizado",IF(P292&lt;O292,"Finalizado anticipado",IF(P292=O292,"Finalizado","Finalizado con desfase"))),IF(N292&lt;&gt;"",IF(O292="","No planificado",IF(O292&lt;='Tablas y Glosario'!$F$1,"Atrasado",IF(M292="","En curso",IF(N292&gt;M292,"Inicio retrasado",IF(N292&lt;M292,"Inicio anticipado","En curso"))))),IF(M292="","COMPLETAR",IF('Tablas y Glosario'!$F$1&gt;=M292,"No iniciado","Programado")))))</f>
        <v>Programado</v>
      </c>
    </row>
    <row r="293" customFormat="false" ht="46.25" hidden="false" customHeight="false" outlineLevel="0" collapsed="false">
      <c r="A293" s="61"/>
      <c r="B293" s="60" t="s">
        <v>66</v>
      </c>
      <c r="C293" s="61" t="s">
        <v>156</v>
      </c>
      <c r="D293" s="60" t="s">
        <v>83</v>
      </c>
      <c r="E293" s="73" t="s">
        <v>283</v>
      </c>
      <c r="F293" s="73" t="s">
        <v>288</v>
      </c>
      <c r="G293" s="61" t="s">
        <v>125</v>
      </c>
      <c r="H293" s="74" t="s">
        <v>289</v>
      </c>
      <c r="I293" s="73" t="s">
        <v>290</v>
      </c>
      <c r="J293" s="73" t="s">
        <v>291</v>
      </c>
      <c r="K293" s="61" t="s">
        <v>70</v>
      </c>
      <c r="L293" s="61"/>
      <c r="M293" s="75" t="n">
        <v>46539</v>
      </c>
      <c r="N293" s="75"/>
      <c r="O293" s="75"/>
      <c r="P293" s="75"/>
      <c r="Q293" s="76" t="str">
        <f aca="false">IF(AND(M293="",N293="",O293="",P293=""),"COMPLETAR",IF(P293&lt;&gt;"",IF(O293="","Finalizado",IF(P293&lt;O293,"Finalizado anticipado",IF(P293=O293,"Finalizado","Finalizado con desfase"))),IF(N293&lt;&gt;"",IF(O293="","No planificado",IF(O293&lt;='Tablas y Glosario'!$F$1,"Atrasado",IF(M293="","En curso",IF(N293&gt;M293,"Inicio retrasado",IF(N293&lt;M293,"Inicio anticipado","En curso"))))),IF(M293="","COMPLETAR",IF('Tablas y Glosario'!$F$1&gt;=M293,"No iniciado","Programado")))))</f>
        <v>Programado</v>
      </c>
    </row>
    <row r="294" customFormat="false" ht="46.25" hidden="false" customHeight="false" outlineLevel="0" collapsed="false">
      <c r="A294" s="67"/>
      <c r="B294" s="68" t="s">
        <v>66</v>
      </c>
      <c r="C294" s="67" t="s">
        <v>156</v>
      </c>
      <c r="D294" s="68" t="s">
        <v>83</v>
      </c>
      <c r="E294" s="69" t="s">
        <v>283</v>
      </c>
      <c r="F294" s="69" t="s">
        <v>288</v>
      </c>
      <c r="G294" s="67" t="s">
        <v>126</v>
      </c>
      <c r="H294" s="70" t="s">
        <v>292</v>
      </c>
      <c r="I294" s="69" t="s">
        <v>293</v>
      </c>
      <c r="J294" s="69" t="s">
        <v>294</v>
      </c>
      <c r="K294" s="67" t="s">
        <v>70</v>
      </c>
      <c r="L294" s="67"/>
      <c r="M294" s="71" t="n">
        <v>46540</v>
      </c>
      <c r="N294" s="71"/>
      <c r="O294" s="71"/>
      <c r="P294" s="71"/>
      <c r="Q294" s="72" t="str">
        <f aca="false">IF(AND(M294="",N294="",O294="",P294=""),"COMPLETAR",IF(P294&lt;&gt;"",IF(O294="","Finalizado",IF(P294&lt;O294,"Finalizado anticipado",IF(P294=O294,"Finalizado","Finalizado con desfase"))),IF(N294&lt;&gt;"",IF(O294="","No planificado",IF(O294&lt;='Tablas y Glosario'!$F$1,"Atrasado",IF(M294="","En curso",IF(N294&gt;M294,"Inicio retrasado",IF(N294&lt;M294,"Inicio anticipado","En curso"))))),IF(M294="","COMPLETAR",IF('Tablas y Glosario'!$F$1&gt;=M294,"No iniciado","Programado")))))</f>
        <v>Programado</v>
      </c>
    </row>
    <row r="295" customFormat="false" ht="46.25" hidden="false" customHeight="false" outlineLevel="0" collapsed="false">
      <c r="A295" s="61"/>
      <c r="B295" s="60" t="s">
        <v>66</v>
      </c>
      <c r="C295" s="61" t="s">
        <v>156</v>
      </c>
      <c r="D295" s="60" t="s">
        <v>83</v>
      </c>
      <c r="E295" s="73" t="s">
        <v>283</v>
      </c>
      <c r="F295" s="73" t="s">
        <v>288</v>
      </c>
      <c r="G295" s="61" t="s">
        <v>127</v>
      </c>
      <c r="H295" s="74" t="s">
        <v>295</v>
      </c>
      <c r="I295" s="73" t="s">
        <v>296</v>
      </c>
      <c r="J295" s="73" t="s">
        <v>297</v>
      </c>
      <c r="K295" s="61" t="s">
        <v>70</v>
      </c>
      <c r="L295" s="61"/>
      <c r="M295" s="75" t="n">
        <v>46541</v>
      </c>
      <c r="N295" s="75"/>
      <c r="O295" s="75"/>
      <c r="P295" s="75"/>
      <c r="Q295" s="76" t="str">
        <f aca="false">IF(AND(M295="",N295="",O295="",P295=""),"COMPLETAR",IF(P295&lt;&gt;"",IF(O295="","Finalizado",IF(P295&lt;O295,"Finalizado anticipado",IF(P295=O295,"Finalizado","Finalizado con desfase"))),IF(N295&lt;&gt;"",IF(O295="","No planificado",IF(O295&lt;='Tablas y Glosario'!$F$1,"Atrasado",IF(M295="","En curso",IF(N295&gt;M295,"Inicio retrasado",IF(N295&lt;M295,"Inicio anticipado","En curso"))))),IF(M295="","COMPLETAR",IF('Tablas y Glosario'!$F$1&gt;=M295,"No iniciado","Programado")))))</f>
        <v>Programado</v>
      </c>
    </row>
  </sheetData>
  <autoFilter ref="A1:Q295"/>
  <conditionalFormatting sqref="Q2:Q295">
    <cfRule type="cellIs" priority="2" operator="equal" aboveAverage="0" equalAverage="0" bottom="0" percent="0" rank="0" text="" dxfId="15">
      <formula>"COMPLETAR"</formula>
    </cfRule>
    <cfRule type="cellIs" priority="3" operator="equal" aboveAverage="0" equalAverage="0" bottom="0" percent="0" rank="0" text="" dxfId="16">
      <formula>"Falta planificación"</formula>
    </cfRule>
    <cfRule type="cellIs" priority="4" operator="equal" aboveAverage="0" equalAverage="0" bottom="0" percent="0" rank="0" text="" dxfId="17">
      <formula>"Programado"</formula>
    </cfRule>
    <cfRule type="cellIs" priority="5" operator="equal" aboveAverage="0" equalAverage="0" bottom="0" percent="0" rank="0" text="" dxfId="18">
      <formula>"No iniciado"</formula>
    </cfRule>
    <cfRule type="cellIs" priority="6" operator="equal" aboveAverage="0" equalAverage="0" bottom="0" percent="0" rank="0" text="" dxfId="19">
      <formula>"Inicio anticipado"</formula>
    </cfRule>
    <cfRule type="cellIs" priority="7" operator="equal" aboveAverage="0" equalAverage="0" bottom="0" percent="0" rank="0" text="" dxfId="20">
      <formula>"En curso"</formula>
    </cfRule>
    <cfRule type="cellIs" priority="8" operator="equal" aboveAverage="0" equalAverage="0" bottom="0" percent="0" rank="0" text="" dxfId="21">
      <formula>"Inicio retrasado"</formula>
    </cfRule>
    <cfRule type="cellIs" priority="9" operator="equal" aboveAverage="0" equalAverage="0" bottom="0" percent="0" rank="0" text="" dxfId="15">
      <formula>"Atrasado"</formula>
    </cfRule>
    <cfRule type="cellIs" priority="10" operator="equal" aboveAverage="0" equalAverage="0" bottom="0" percent="0" rank="0" text="" dxfId="19">
      <formula>"Finalizado anticipado"</formula>
    </cfRule>
    <cfRule type="cellIs" priority="11" operator="equal" aboveAverage="0" equalAverage="0" bottom="0" percent="0" rank="0" text="" dxfId="22">
      <formula>"Finalizado"</formula>
    </cfRule>
    <cfRule type="cellIs" priority="12" operator="equal" aboveAverage="0" equalAverage="0" bottom="0" percent="0" rank="0" text="" dxfId="21">
      <formula>"Finalizado con desfase"</formula>
    </cfRule>
    <cfRule type="cellIs" priority="13" operator="equal" aboveAverage="0" equalAverage="0" bottom="0" percent="0" rank="0" text="" dxfId="22">
      <formula>"Listo"</formula>
    </cfRule>
    <cfRule type="cellIs" priority="14" operator="equal" aboveAverage="0" equalAverage="0" bottom="0" percent="0" rank="0" text="" dxfId="20">
      <formula>"Maqueta"</formula>
    </cfRule>
    <cfRule type="cellIs" priority="15" operator="equal" aboveAverage="0" equalAverage="0" bottom="0" percent="0" rank="0" text="" dxfId="18">
      <formula>"Pendiente"</formula>
    </cfRule>
    <cfRule type="cellIs" priority="16" operator="equal" aboveAverage="0" equalAverage="0" bottom="0" percent="0" rank="0" text="" dxfId="21">
      <formula>"Observado"</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CA30C"/>
    <pageSetUpPr fitToPage="true"/>
  </sheetPr>
  <dimension ref="A1:O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15" min="2" style="0" width="16"/>
  </cols>
  <sheetData>
    <row r="1" customFormat="false" ht="27.75" hidden="false" customHeight="true" outlineLevel="0" collapsed="false">
      <c r="A1" s="66" t="s">
        <v>298</v>
      </c>
      <c r="B1" s="66" t="s">
        <v>299</v>
      </c>
      <c r="C1" s="66" t="s">
        <v>143</v>
      </c>
      <c r="D1" s="66" t="s">
        <v>300</v>
      </c>
      <c r="E1" s="66" t="s">
        <v>301</v>
      </c>
      <c r="F1" s="66" t="s">
        <v>302</v>
      </c>
      <c r="G1" s="66" t="s">
        <v>303</v>
      </c>
      <c r="H1" s="66" t="s">
        <v>304</v>
      </c>
      <c r="I1" s="66" t="s">
        <v>305</v>
      </c>
      <c r="J1" s="66" t="s">
        <v>306</v>
      </c>
      <c r="K1" s="66" t="s">
        <v>307</v>
      </c>
      <c r="L1" s="66" t="s">
        <v>155</v>
      </c>
      <c r="M1" s="66" t="s">
        <v>308</v>
      </c>
      <c r="N1" s="66" t="s">
        <v>68</v>
      </c>
      <c r="O1" s="66"/>
    </row>
    <row r="2" customFormat="false" ht="147" hidden="false" customHeight="false" outlineLevel="0" collapsed="false">
      <c r="A2" s="69" t="n">
        <v>6</v>
      </c>
      <c r="B2" s="69" t="s">
        <v>309</v>
      </c>
      <c r="C2" s="69" t="s">
        <v>156</v>
      </c>
      <c r="D2" s="69" t="s">
        <v>310</v>
      </c>
      <c r="E2" s="69" t="s">
        <v>311</v>
      </c>
      <c r="F2" s="69" t="s">
        <v>312</v>
      </c>
      <c r="G2" s="69" t="s">
        <v>313</v>
      </c>
      <c r="H2" s="69" t="s">
        <v>314</v>
      </c>
      <c r="I2" s="69"/>
      <c r="J2" s="69" t="s">
        <v>315</v>
      </c>
      <c r="K2" s="69" t="s">
        <v>316</v>
      </c>
      <c r="L2" s="69" t="s">
        <v>129</v>
      </c>
      <c r="M2" s="69" t="s">
        <v>317</v>
      </c>
      <c r="N2" s="69" t="s">
        <v>318</v>
      </c>
      <c r="O2" s="69"/>
    </row>
    <row r="3" customFormat="false" ht="46.25" hidden="false" customHeight="false" outlineLevel="0" collapsed="false">
      <c r="A3" s="73" t="n">
        <v>7</v>
      </c>
      <c r="B3" s="73" t="s">
        <v>309</v>
      </c>
      <c r="C3" s="73" t="s">
        <v>156</v>
      </c>
      <c r="D3" s="73" t="s">
        <v>319</v>
      </c>
      <c r="E3" s="73" t="s">
        <v>320</v>
      </c>
      <c r="F3" s="73" t="s">
        <v>312</v>
      </c>
      <c r="G3" s="73" t="s">
        <v>321</v>
      </c>
      <c r="H3" s="73" t="s">
        <v>321</v>
      </c>
      <c r="I3" s="73"/>
      <c r="J3" s="73" t="s">
        <v>315</v>
      </c>
      <c r="K3" s="73" t="s">
        <v>316</v>
      </c>
      <c r="L3" s="73" t="s">
        <v>129</v>
      </c>
      <c r="M3" s="73" t="s">
        <v>317</v>
      </c>
      <c r="N3" s="73" t="s">
        <v>318</v>
      </c>
      <c r="O3" s="73"/>
    </row>
    <row r="4" customFormat="false" ht="35.05" hidden="false" customHeight="false" outlineLevel="0" collapsed="false">
      <c r="A4" s="69" t="n">
        <v>8</v>
      </c>
      <c r="B4" s="69" t="s">
        <v>309</v>
      </c>
      <c r="C4" s="69" t="s">
        <v>156</v>
      </c>
      <c r="D4" s="69" t="s">
        <v>319</v>
      </c>
      <c r="E4" s="69" t="s">
        <v>63</v>
      </c>
      <c r="F4" s="69" t="s">
        <v>312</v>
      </c>
      <c r="G4" s="69" t="s">
        <v>313</v>
      </c>
      <c r="H4" s="69" t="s">
        <v>314</v>
      </c>
      <c r="I4" s="69"/>
      <c r="J4" s="69" t="s">
        <v>315</v>
      </c>
      <c r="K4" s="69" t="s">
        <v>316</v>
      </c>
      <c r="L4" s="69" t="s">
        <v>129</v>
      </c>
      <c r="M4" s="69" t="s">
        <v>317</v>
      </c>
      <c r="N4" s="69" t="s">
        <v>318</v>
      </c>
      <c r="O4" s="69"/>
    </row>
    <row r="5" customFormat="false" ht="35.05" hidden="false" customHeight="false" outlineLevel="0" collapsed="false">
      <c r="A5" s="73" t="n">
        <v>9</v>
      </c>
      <c r="B5" s="73" t="s">
        <v>309</v>
      </c>
      <c r="C5" s="73" t="s">
        <v>156</v>
      </c>
      <c r="D5" s="73" t="s">
        <v>319</v>
      </c>
      <c r="E5" s="73" t="s">
        <v>322</v>
      </c>
      <c r="F5" s="73" t="s">
        <v>312</v>
      </c>
      <c r="G5" s="73" t="s">
        <v>313</v>
      </c>
      <c r="H5" s="73" t="s">
        <v>314</v>
      </c>
      <c r="I5" s="73"/>
      <c r="J5" s="73" t="s">
        <v>315</v>
      </c>
      <c r="K5" s="73" t="s">
        <v>316</v>
      </c>
      <c r="L5" s="73" t="s">
        <v>129</v>
      </c>
      <c r="M5" s="73" t="s">
        <v>317</v>
      </c>
      <c r="N5" s="73" t="s">
        <v>318</v>
      </c>
      <c r="O5" s="73"/>
    </row>
    <row r="6" customFormat="false" ht="35.05" hidden="false" customHeight="false" outlineLevel="0" collapsed="false">
      <c r="A6" s="69" t="n">
        <v>10</v>
      </c>
      <c r="B6" s="69" t="s">
        <v>309</v>
      </c>
      <c r="C6" s="69" t="s">
        <v>156</v>
      </c>
      <c r="D6" s="69" t="s">
        <v>319</v>
      </c>
      <c r="E6" s="69" t="s">
        <v>323</v>
      </c>
      <c r="F6" s="69" t="s">
        <v>312</v>
      </c>
      <c r="G6" s="69" t="s">
        <v>313</v>
      </c>
      <c r="H6" s="69" t="s">
        <v>314</v>
      </c>
      <c r="I6" s="69"/>
      <c r="J6" s="69" t="s">
        <v>315</v>
      </c>
      <c r="K6" s="69" t="s">
        <v>316</v>
      </c>
      <c r="L6" s="69" t="s">
        <v>129</v>
      </c>
      <c r="M6" s="69" t="s">
        <v>317</v>
      </c>
      <c r="N6" s="69" t="s">
        <v>318</v>
      </c>
      <c r="O6" s="69"/>
    </row>
    <row r="7" customFormat="false" ht="35.05" hidden="false" customHeight="false" outlineLevel="0" collapsed="false">
      <c r="A7" s="73" t="n">
        <v>11</v>
      </c>
      <c r="B7" s="73" t="s">
        <v>309</v>
      </c>
      <c r="C7" s="73" t="s">
        <v>156</v>
      </c>
      <c r="D7" s="73" t="s">
        <v>319</v>
      </c>
      <c r="E7" s="73" t="s">
        <v>324</v>
      </c>
      <c r="F7" s="73" t="s">
        <v>312</v>
      </c>
      <c r="G7" s="73" t="s">
        <v>313</v>
      </c>
      <c r="H7" s="73" t="s">
        <v>314</v>
      </c>
      <c r="I7" s="73"/>
      <c r="J7" s="73" t="s">
        <v>315</v>
      </c>
      <c r="K7" s="73" t="s">
        <v>316</v>
      </c>
      <c r="L7" s="73" t="s">
        <v>129</v>
      </c>
      <c r="M7" s="73" t="s">
        <v>317</v>
      </c>
      <c r="N7" s="73" t="s">
        <v>318</v>
      </c>
      <c r="O7" s="73"/>
    </row>
    <row r="8" customFormat="false" ht="57.45" hidden="false" customHeight="false" outlineLevel="0" collapsed="false">
      <c r="A8" s="69" t="n">
        <v>12</v>
      </c>
      <c r="B8" s="69" t="s">
        <v>309</v>
      </c>
      <c r="C8" s="69" t="s">
        <v>156</v>
      </c>
      <c r="D8" s="69" t="s">
        <v>319</v>
      </c>
      <c r="E8" s="69" t="s">
        <v>325</v>
      </c>
      <c r="F8" s="69" t="s">
        <v>312</v>
      </c>
      <c r="G8" s="69" t="s">
        <v>313</v>
      </c>
      <c r="H8" s="69" t="s">
        <v>314</v>
      </c>
      <c r="I8" s="69"/>
      <c r="J8" s="69" t="s">
        <v>315</v>
      </c>
      <c r="K8" s="69" t="s">
        <v>316</v>
      </c>
      <c r="L8" s="69" t="s">
        <v>129</v>
      </c>
      <c r="M8" s="69" t="s">
        <v>317</v>
      </c>
      <c r="N8" s="69" t="s">
        <v>318</v>
      </c>
      <c r="O8" s="69"/>
    </row>
    <row r="9" customFormat="false" ht="35.05" hidden="false" customHeight="false" outlineLevel="0" collapsed="false">
      <c r="A9" s="73" t="n">
        <v>13</v>
      </c>
      <c r="B9" s="73" t="s">
        <v>309</v>
      </c>
      <c r="C9" s="73" t="s">
        <v>156</v>
      </c>
      <c r="D9" s="73" t="s">
        <v>319</v>
      </c>
      <c r="E9" s="73" t="s">
        <v>326</v>
      </c>
      <c r="F9" s="73" t="s">
        <v>327</v>
      </c>
      <c r="G9" s="73" t="s">
        <v>314</v>
      </c>
      <c r="H9" s="73" t="s">
        <v>314</v>
      </c>
      <c r="I9" s="73"/>
      <c r="J9" s="73" t="s">
        <v>328</v>
      </c>
      <c r="K9" s="73" t="s">
        <v>329</v>
      </c>
      <c r="L9" s="73" t="s">
        <v>129</v>
      </c>
      <c r="M9" s="73" t="s">
        <v>330</v>
      </c>
      <c r="N9" s="73" t="s">
        <v>318</v>
      </c>
      <c r="O9" s="73" t="s">
        <v>331</v>
      </c>
    </row>
    <row r="10" customFormat="false" ht="35.05" hidden="false" customHeight="false" outlineLevel="0" collapsed="false">
      <c r="A10" s="69" t="n">
        <v>14</v>
      </c>
      <c r="B10" s="69" t="s">
        <v>309</v>
      </c>
      <c r="C10" s="69" t="s">
        <v>156</v>
      </c>
      <c r="D10" s="69" t="s">
        <v>319</v>
      </c>
      <c r="E10" s="69" t="s">
        <v>332</v>
      </c>
      <c r="F10" s="69" t="s">
        <v>312</v>
      </c>
      <c r="G10" s="69" t="s">
        <v>313</v>
      </c>
      <c r="H10" s="69" t="s">
        <v>314</v>
      </c>
      <c r="I10" s="69"/>
      <c r="J10" s="69" t="s">
        <v>315</v>
      </c>
      <c r="K10" s="69" t="s">
        <v>316</v>
      </c>
      <c r="L10" s="69" t="s">
        <v>129</v>
      </c>
      <c r="M10" s="69" t="s">
        <v>317</v>
      </c>
      <c r="N10" s="69" t="s">
        <v>318</v>
      </c>
      <c r="O10" s="69"/>
    </row>
    <row r="11" customFormat="false" ht="35.05" hidden="false" customHeight="false" outlineLevel="0" collapsed="false">
      <c r="A11" s="73" t="n">
        <v>15</v>
      </c>
      <c r="B11" s="73" t="s">
        <v>309</v>
      </c>
      <c r="C11" s="73" t="s">
        <v>156</v>
      </c>
      <c r="D11" s="73" t="s">
        <v>319</v>
      </c>
      <c r="E11" s="73" t="s">
        <v>333</v>
      </c>
      <c r="F11" s="73" t="s">
        <v>312</v>
      </c>
      <c r="G11" s="73" t="s">
        <v>313</v>
      </c>
      <c r="H11" s="73" t="s">
        <v>314</v>
      </c>
      <c r="I11" s="73"/>
      <c r="J11" s="73" t="s">
        <v>315</v>
      </c>
      <c r="K11" s="73" t="s">
        <v>316</v>
      </c>
      <c r="L11" s="73" t="s">
        <v>129</v>
      </c>
      <c r="M11" s="73" t="s">
        <v>317</v>
      </c>
      <c r="N11" s="73" t="s">
        <v>318</v>
      </c>
      <c r="O11" s="73"/>
    </row>
    <row r="12" customFormat="false" ht="57.45" hidden="false" customHeight="false" outlineLevel="0" collapsed="false">
      <c r="A12" s="69" t="n">
        <v>16</v>
      </c>
      <c r="B12" s="69" t="s">
        <v>309</v>
      </c>
      <c r="C12" s="69" t="s">
        <v>156</v>
      </c>
      <c r="D12" s="69" t="s">
        <v>334</v>
      </c>
      <c r="E12" s="69" t="s">
        <v>335</v>
      </c>
      <c r="F12" s="69" t="s">
        <v>312</v>
      </c>
      <c r="G12" s="69" t="s">
        <v>313</v>
      </c>
      <c r="H12" s="69" t="s">
        <v>314</v>
      </c>
      <c r="I12" s="69"/>
      <c r="J12" s="69" t="s">
        <v>315</v>
      </c>
      <c r="K12" s="69" t="s">
        <v>316</v>
      </c>
      <c r="L12" s="69" t="s">
        <v>129</v>
      </c>
      <c r="M12" s="69" t="s">
        <v>317</v>
      </c>
      <c r="N12" s="69" t="s">
        <v>318</v>
      </c>
      <c r="O12" s="69"/>
    </row>
    <row r="13" customFormat="false" ht="35.05" hidden="false" customHeight="false" outlineLevel="0" collapsed="false">
      <c r="A13" s="73" t="n">
        <v>20</v>
      </c>
      <c r="B13" s="73" t="s">
        <v>336</v>
      </c>
      <c r="C13" s="73" t="s">
        <v>156</v>
      </c>
      <c r="D13" s="73" t="s">
        <v>337</v>
      </c>
      <c r="E13" s="73" t="s">
        <v>338</v>
      </c>
      <c r="F13" s="73" t="s">
        <v>312</v>
      </c>
      <c r="G13" s="73" t="s">
        <v>339</v>
      </c>
      <c r="H13" s="73" t="s">
        <v>314</v>
      </c>
      <c r="I13" s="73"/>
      <c r="J13" s="73" t="s">
        <v>315</v>
      </c>
      <c r="K13" s="73" t="s">
        <v>316</v>
      </c>
      <c r="L13" s="73" t="s">
        <v>129</v>
      </c>
      <c r="M13" s="73" t="s">
        <v>317</v>
      </c>
      <c r="N13" s="73" t="s">
        <v>318</v>
      </c>
      <c r="O13" s="73"/>
    </row>
    <row r="14" customFormat="false" ht="35.05" hidden="false" customHeight="false" outlineLevel="0" collapsed="false">
      <c r="A14" s="69" t="n">
        <v>21</v>
      </c>
      <c r="B14" s="69" t="s">
        <v>336</v>
      </c>
      <c r="C14" s="69" t="s">
        <v>156</v>
      </c>
      <c r="D14" s="69" t="s">
        <v>337</v>
      </c>
      <c r="E14" s="69" t="s">
        <v>340</v>
      </c>
      <c r="F14" s="69" t="s">
        <v>312</v>
      </c>
      <c r="G14" s="69" t="s">
        <v>313</v>
      </c>
      <c r="H14" s="69" t="s">
        <v>314</v>
      </c>
      <c r="I14" s="69"/>
      <c r="J14" s="69" t="s">
        <v>315</v>
      </c>
      <c r="K14" s="69" t="s">
        <v>316</v>
      </c>
      <c r="L14" s="69" t="s">
        <v>129</v>
      </c>
      <c r="M14" s="69" t="s">
        <v>317</v>
      </c>
      <c r="N14" s="69" t="s">
        <v>318</v>
      </c>
      <c r="O14" s="69"/>
    </row>
    <row r="15" customFormat="false" ht="35.05" hidden="false" customHeight="false" outlineLevel="0" collapsed="false">
      <c r="A15" s="73" t="n">
        <v>22</v>
      </c>
      <c r="B15" s="73" t="s">
        <v>336</v>
      </c>
      <c r="C15" s="73" t="s">
        <v>156</v>
      </c>
      <c r="D15" s="73" t="s">
        <v>337</v>
      </c>
      <c r="E15" s="73" t="s">
        <v>341</v>
      </c>
      <c r="F15" s="73" t="s">
        <v>312</v>
      </c>
      <c r="G15" s="73" t="s">
        <v>313</v>
      </c>
      <c r="H15" s="73" t="s">
        <v>314</v>
      </c>
      <c r="I15" s="73"/>
      <c r="J15" s="73" t="s">
        <v>315</v>
      </c>
      <c r="K15" s="73" t="s">
        <v>316</v>
      </c>
      <c r="L15" s="73" t="s">
        <v>129</v>
      </c>
      <c r="M15" s="73" t="s">
        <v>317</v>
      </c>
      <c r="N15" s="73" t="s">
        <v>318</v>
      </c>
      <c r="O15" s="73"/>
    </row>
    <row r="16" customFormat="false" ht="35.05" hidden="false" customHeight="false" outlineLevel="0" collapsed="false">
      <c r="A16" s="69" t="n">
        <v>23</v>
      </c>
      <c r="B16" s="69" t="s">
        <v>336</v>
      </c>
      <c r="C16" s="69" t="s">
        <v>156</v>
      </c>
      <c r="D16" s="69" t="s">
        <v>337</v>
      </c>
      <c r="E16" s="69" t="s">
        <v>342</v>
      </c>
      <c r="F16" s="69" t="s">
        <v>312</v>
      </c>
      <c r="G16" s="69" t="s">
        <v>313</v>
      </c>
      <c r="H16" s="69" t="s">
        <v>314</v>
      </c>
      <c r="I16" s="69"/>
      <c r="J16" s="69" t="s">
        <v>315</v>
      </c>
      <c r="K16" s="69" t="s">
        <v>316</v>
      </c>
      <c r="L16" s="69" t="s">
        <v>129</v>
      </c>
      <c r="M16" s="69" t="s">
        <v>317</v>
      </c>
      <c r="N16" s="69" t="s">
        <v>318</v>
      </c>
      <c r="O16" s="69"/>
    </row>
    <row r="17" customFormat="false" ht="57.45" hidden="false" customHeight="false" outlineLevel="0" collapsed="false">
      <c r="A17" s="73" t="n">
        <v>24</v>
      </c>
      <c r="B17" s="73" t="s">
        <v>336</v>
      </c>
      <c r="C17" s="73" t="s">
        <v>156</v>
      </c>
      <c r="D17" s="73" t="s">
        <v>337</v>
      </c>
      <c r="E17" s="73" t="s">
        <v>343</v>
      </c>
      <c r="F17" s="73" t="s">
        <v>344</v>
      </c>
      <c r="G17" s="73" t="s">
        <v>314</v>
      </c>
      <c r="H17" s="73" t="s">
        <v>314</v>
      </c>
      <c r="I17" s="73"/>
      <c r="J17" s="73" t="s">
        <v>328</v>
      </c>
      <c r="K17" s="73" t="s">
        <v>345</v>
      </c>
      <c r="L17" s="73" t="s">
        <v>129</v>
      </c>
      <c r="M17" s="73" t="s">
        <v>330</v>
      </c>
      <c r="N17" s="73" t="s">
        <v>346</v>
      </c>
      <c r="O17" s="73"/>
    </row>
    <row r="18" customFormat="false" ht="57.45" hidden="false" customHeight="false" outlineLevel="0" collapsed="false">
      <c r="A18" s="69" t="n">
        <v>26</v>
      </c>
      <c r="B18" s="69" t="s">
        <v>336</v>
      </c>
      <c r="C18" s="69" t="s">
        <v>156</v>
      </c>
      <c r="D18" s="69" t="s">
        <v>337</v>
      </c>
      <c r="E18" s="69" t="s">
        <v>347</v>
      </c>
      <c r="F18" s="69" t="s">
        <v>344</v>
      </c>
      <c r="G18" s="69" t="s">
        <v>314</v>
      </c>
      <c r="H18" s="69" t="s">
        <v>314</v>
      </c>
      <c r="I18" s="69"/>
      <c r="J18" s="69" t="s">
        <v>328</v>
      </c>
      <c r="K18" s="69" t="s">
        <v>345</v>
      </c>
      <c r="L18" s="69" t="s">
        <v>129</v>
      </c>
      <c r="M18" s="69" t="s">
        <v>330</v>
      </c>
      <c r="N18" s="69" t="s">
        <v>346</v>
      </c>
      <c r="O18" s="69"/>
    </row>
    <row r="19" customFormat="false" ht="57.45" hidden="false" customHeight="false" outlineLevel="0" collapsed="false">
      <c r="A19" s="73" t="n">
        <v>27</v>
      </c>
      <c r="B19" s="73" t="s">
        <v>336</v>
      </c>
      <c r="C19" s="73" t="s">
        <v>156</v>
      </c>
      <c r="D19" s="73" t="s">
        <v>337</v>
      </c>
      <c r="E19" s="73" t="s">
        <v>348</v>
      </c>
      <c r="F19" s="73" t="s">
        <v>344</v>
      </c>
      <c r="G19" s="73" t="s">
        <v>314</v>
      </c>
      <c r="H19" s="73" t="s">
        <v>314</v>
      </c>
      <c r="I19" s="73"/>
      <c r="J19" s="73" t="s">
        <v>328</v>
      </c>
      <c r="K19" s="73" t="s">
        <v>345</v>
      </c>
      <c r="L19" s="73" t="s">
        <v>131</v>
      </c>
      <c r="M19" s="73" t="s">
        <v>330</v>
      </c>
      <c r="N19" s="73" t="s">
        <v>346</v>
      </c>
      <c r="O19" s="73" t="s">
        <v>349</v>
      </c>
    </row>
    <row r="20" customFormat="false" ht="57.45" hidden="false" customHeight="false" outlineLevel="0" collapsed="false">
      <c r="A20" s="69" t="n">
        <v>28</v>
      </c>
      <c r="B20" s="69" t="s">
        <v>336</v>
      </c>
      <c r="C20" s="69" t="s">
        <v>156</v>
      </c>
      <c r="D20" s="69" t="s">
        <v>337</v>
      </c>
      <c r="E20" s="69" t="s">
        <v>350</v>
      </c>
      <c r="F20" s="69" t="s">
        <v>344</v>
      </c>
      <c r="G20" s="69" t="s">
        <v>314</v>
      </c>
      <c r="H20" s="69" t="s">
        <v>314</v>
      </c>
      <c r="I20" s="69"/>
      <c r="J20" s="69" t="s">
        <v>328</v>
      </c>
      <c r="K20" s="69" t="s">
        <v>345</v>
      </c>
      <c r="L20" s="69" t="s">
        <v>129</v>
      </c>
      <c r="M20" s="69" t="s">
        <v>330</v>
      </c>
      <c r="N20" s="69" t="s">
        <v>346</v>
      </c>
      <c r="O20" s="69"/>
    </row>
    <row r="21" customFormat="false" ht="57.45" hidden="false" customHeight="false" outlineLevel="0" collapsed="false">
      <c r="A21" s="73" t="n">
        <v>29</v>
      </c>
      <c r="B21" s="73" t="s">
        <v>336</v>
      </c>
      <c r="C21" s="73" t="s">
        <v>156</v>
      </c>
      <c r="D21" s="73" t="s">
        <v>337</v>
      </c>
      <c r="E21" s="73" t="s">
        <v>351</v>
      </c>
      <c r="F21" s="73" t="s">
        <v>344</v>
      </c>
      <c r="G21" s="73" t="s">
        <v>314</v>
      </c>
      <c r="H21" s="73" t="s">
        <v>314</v>
      </c>
      <c r="I21" s="73"/>
      <c r="J21" s="73" t="s">
        <v>328</v>
      </c>
      <c r="K21" s="73" t="s">
        <v>345</v>
      </c>
      <c r="L21" s="73" t="s">
        <v>129</v>
      </c>
      <c r="M21" s="73" t="s">
        <v>330</v>
      </c>
      <c r="N21" s="73" t="s">
        <v>346</v>
      </c>
      <c r="O21" s="73"/>
    </row>
    <row r="22" customFormat="false" ht="57.45" hidden="false" customHeight="false" outlineLevel="0" collapsed="false">
      <c r="A22" s="69" t="n">
        <v>30</v>
      </c>
      <c r="B22" s="69" t="s">
        <v>336</v>
      </c>
      <c r="C22" s="69" t="s">
        <v>156</v>
      </c>
      <c r="D22" s="69" t="s">
        <v>337</v>
      </c>
      <c r="E22" s="69" t="s">
        <v>352</v>
      </c>
      <c r="F22" s="69" t="s">
        <v>344</v>
      </c>
      <c r="G22" s="69" t="s">
        <v>314</v>
      </c>
      <c r="H22" s="69" t="s">
        <v>314</v>
      </c>
      <c r="I22" s="69"/>
      <c r="J22" s="69" t="s">
        <v>328</v>
      </c>
      <c r="K22" s="69" t="s">
        <v>345</v>
      </c>
      <c r="L22" s="69" t="s">
        <v>129</v>
      </c>
      <c r="M22" s="69" t="s">
        <v>330</v>
      </c>
      <c r="N22" s="69" t="s">
        <v>346</v>
      </c>
      <c r="O22" s="69"/>
    </row>
    <row r="23" customFormat="false" ht="57.45" hidden="false" customHeight="false" outlineLevel="0" collapsed="false">
      <c r="A23" s="73" t="n">
        <v>31</v>
      </c>
      <c r="B23" s="73" t="s">
        <v>336</v>
      </c>
      <c r="C23" s="73" t="s">
        <v>156</v>
      </c>
      <c r="D23" s="73" t="s">
        <v>337</v>
      </c>
      <c r="E23" s="73" t="s">
        <v>353</v>
      </c>
      <c r="F23" s="73" t="s">
        <v>344</v>
      </c>
      <c r="G23" s="73" t="s">
        <v>314</v>
      </c>
      <c r="H23" s="73" t="s">
        <v>314</v>
      </c>
      <c r="I23" s="73"/>
      <c r="J23" s="73" t="s">
        <v>328</v>
      </c>
      <c r="K23" s="73" t="s">
        <v>345</v>
      </c>
      <c r="L23" s="73" t="s">
        <v>129</v>
      </c>
      <c r="M23" s="73" t="s">
        <v>330</v>
      </c>
      <c r="N23" s="73" t="s">
        <v>346</v>
      </c>
      <c r="O23" s="73"/>
    </row>
    <row r="24" customFormat="false" ht="57.45" hidden="false" customHeight="false" outlineLevel="0" collapsed="false">
      <c r="A24" s="69" t="n">
        <v>32</v>
      </c>
      <c r="B24" s="69" t="s">
        <v>336</v>
      </c>
      <c r="C24" s="69" t="s">
        <v>156</v>
      </c>
      <c r="D24" s="69" t="s">
        <v>337</v>
      </c>
      <c r="E24" s="69" t="s">
        <v>354</v>
      </c>
      <c r="F24" s="69" t="s">
        <v>344</v>
      </c>
      <c r="G24" s="69" t="s">
        <v>314</v>
      </c>
      <c r="H24" s="69" t="s">
        <v>314</v>
      </c>
      <c r="I24" s="69"/>
      <c r="J24" s="69" t="s">
        <v>328</v>
      </c>
      <c r="K24" s="69" t="s">
        <v>345</v>
      </c>
      <c r="L24" s="69" t="s">
        <v>129</v>
      </c>
      <c r="M24" s="69" t="s">
        <v>330</v>
      </c>
      <c r="N24" s="69" t="s">
        <v>346</v>
      </c>
      <c r="O24" s="69"/>
    </row>
    <row r="25" customFormat="false" ht="57.45" hidden="false" customHeight="false" outlineLevel="0" collapsed="false">
      <c r="A25" s="73" t="n">
        <v>33</v>
      </c>
      <c r="B25" s="73" t="s">
        <v>336</v>
      </c>
      <c r="C25" s="73" t="s">
        <v>156</v>
      </c>
      <c r="D25" s="73" t="s">
        <v>337</v>
      </c>
      <c r="E25" s="73" t="s">
        <v>355</v>
      </c>
      <c r="F25" s="73" t="s">
        <v>344</v>
      </c>
      <c r="G25" s="73" t="s">
        <v>314</v>
      </c>
      <c r="H25" s="73" t="s">
        <v>314</v>
      </c>
      <c r="I25" s="73"/>
      <c r="J25" s="73" t="s">
        <v>328</v>
      </c>
      <c r="K25" s="73" t="s">
        <v>345</v>
      </c>
      <c r="L25" s="73" t="s">
        <v>129</v>
      </c>
      <c r="M25" s="73" t="s">
        <v>330</v>
      </c>
      <c r="N25" s="73" t="s">
        <v>346</v>
      </c>
      <c r="O25" s="73"/>
    </row>
    <row r="26" customFormat="false" ht="57.45" hidden="false" customHeight="false" outlineLevel="0" collapsed="false">
      <c r="A26" s="69" t="n">
        <v>34</v>
      </c>
      <c r="B26" s="69" t="s">
        <v>336</v>
      </c>
      <c r="C26" s="69" t="s">
        <v>156</v>
      </c>
      <c r="D26" s="69" t="s">
        <v>337</v>
      </c>
      <c r="E26" s="69" t="s">
        <v>356</v>
      </c>
      <c r="F26" s="69" t="s">
        <v>344</v>
      </c>
      <c r="G26" s="69" t="s">
        <v>314</v>
      </c>
      <c r="H26" s="69" t="s">
        <v>314</v>
      </c>
      <c r="I26" s="69"/>
      <c r="J26" s="69" t="s">
        <v>328</v>
      </c>
      <c r="K26" s="69" t="s">
        <v>345</v>
      </c>
      <c r="L26" s="69" t="s">
        <v>129</v>
      </c>
      <c r="M26" s="69" t="s">
        <v>330</v>
      </c>
      <c r="N26" s="69" t="s">
        <v>346</v>
      </c>
      <c r="O26" s="69"/>
    </row>
    <row r="27" customFormat="false" ht="57.45" hidden="false" customHeight="false" outlineLevel="0" collapsed="false">
      <c r="A27" s="73" t="n">
        <v>35</v>
      </c>
      <c r="B27" s="73" t="s">
        <v>336</v>
      </c>
      <c r="C27" s="73" t="s">
        <v>156</v>
      </c>
      <c r="D27" s="73" t="s">
        <v>337</v>
      </c>
      <c r="E27" s="73" t="s">
        <v>357</v>
      </c>
      <c r="F27" s="73" t="s">
        <v>344</v>
      </c>
      <c r="G27" s="73" t="s">
        <v>314</v>
      </c>
      <c r="H27" s="73" t="s">
        <v>314</v>
      </c>
      <c r="I27" s="73"/>
      <c r="J27" s="73" t="s">
        <v>328</v>
      </c>
      <c r="K27" s="73" t="s">
        <v>345</v>
      </c>
      <c r="L27" s="73" t="s">
        <v>129</v>
      </c>
      <c r="M27" s="73" t="s">
        <v>330</v>
      </c>
      <c r="N27" s="73" t="s">
        <v>346</v>
      </c>
      <c r="O27" s="73"/>
    </row>
    <row r="28" customFormat="false" ht="57.45" hidden="false" customHeight="false" outlineLevel="0" collapsed="false">
      <c r="A28" s="69" t="n">
        <v>36</v>
      </c>
      <c r="B28" s="69" t="s">
        <v>336</v>
      </c>
      <c r="C28" s="69" t="s">
        <v>156</v>
      </c>
      <c r="D28" s="69" t="s">
        <v>337</v>
      </c>
      <c r="E28" s="69" t="s">
        <v>358</v>
      </c>
      <c r="F28" s="69" t="s">
        <v>344</v>
      </c>
      <c r="G28" s="69" t="s">
        <v>314</v>
      </c>
      <c r="H28" s="69" t="s">
        <v>314</v>
      </c>
      <c r="I28" s="69"/>
      <c r="J28" s="69" t="s">
        <v>328</v>
      </c>
      <c r="K28" s="69" t="s">
        <v>345</v>
      </c>
      <c r="L28" s="69" t="s">
        <v>131</v>
      </c>
      <c r="M28" s="69" t="s">
        <v>330</v>
      </c>
      <c r="N28" s="69" t="s">
        <v>346</v>
      </c>
      <c r="O28" s="69" t="s">
        <v>349</v>
      </c>
    </row>
    <row r="29" customFormat="false" ht="57.45" hidden="false" customHeight="false" outlineLevel="0" collapsed="false">
      <c r="A29" s="73" t="n">
        <v>37</v>
      </c>
      <c r="B29" s="73" t="s">
        <v>336</v>
      </c>
      <c r="C29" s="73" t="s">
        <v>156</v>
      </c>
      <c r="D29" s="73" t="s">
        <v>337</v>
      </c>
      <c r="E29" s="73" t="s">
        <v>359</v>
      </c>
      <c r="F29" s="73" t="s">
        <v>344</v>
      </c>
      <c r="G29" s="73" t="s">
        <v>314</v>
      </c>
      <c r="H29" s="73" t="s">
        <v>314</v>
      </c>
      <c r="I29" s="73"/>
      <c r="J29" s="73" t="s">
        <v>328</v>
      </c>
      <c r="K29" s="73" t="s">
        <v>345</v>
      </c>
      <c r="L29" s="73" t="s">
        <v>131</v>
      </c>
      <c r="M29" s="73" t="s">
        <v>330</v>
      </c>
      <c r="N29" s="73" t="s">
        <v>346</v>
      </c>
      <c r="O29" s="73" t="s">
        <v>349</v>
      </c>
    </row>
    <row r="30" customFormat="false" ht="57.45" hidden="false" customHeight="false" outlineLevel="0" collapsed="false">
      <c r="A30" s="69" t="n">
        <v>38</v>
      </c>
      <c r="B30" s="69" t="s">
        <v>336</v>
      </c>
      <c r="C30" s="69" t="s">
        <v>156</v>
      </c>
      <c r="D30" s="69" t="s">
        <v>337</v>
      </c>
      <c r="E30" s="69" t="s">
        <v>360</v>
      </c>
      <c r="F30" s="69" t="s">
        <v>344</v>
      </c>
      <c r="G30" s="69" t="s">
        <v>314</v>
      </c>
      <c r="H30" s="69" t="s">
        <v>314</v>
      </c>
      <c r="I30" s="69"/>
      <c r="J30" s="69" t="s">
        <v>328</v>
      </c>
      <c r="K30" s="69" t="s">
        <v>345</v>
      </c>
      <c r="L30" s="69" t="s">
        <v>129</v>
      </c>
      <c r="M30" s="69" t="s">
        <v>330</v>
      </c>
      <c r="N30" s="69" t="s">
        <v>346</v>
      </c>
      <c r="O30" s="69"/>
    </row>
    <row r="31" customFormat="false" ht="57.45" hidden="false" customHeight="false" outlineLevel="0" collapsed="false">
      <c r="A31" s="73" t="n">
        <v>39</v>
      </c>
      <c r="B31" s="73" t="s">
        <v>336</v>
      </c>
      <c r="C31" s="73" t="s">
        <v>156</v>
      </c>
      <c r="D31" s="73" t="s">
        <v>337</v>
      </c>
      <c r="E31" s="73" t="s">
        <v>361</v>
      </c>
      <c r="F31" s="73" t="s">
        <v>344</v>
      </c>
      <c r="G31" s="73" t="s">
        <v>314</v>
      </c>
      <c r="H31" s="73" t="s">
        <v>314</v>
      </c>
      <c r="I31" s="73"/>
      <c r="J31" s="73" t="s">
        <v>328</v>
      </c>
      <c r="K31" s="73" t="s">
        <v>345</v>
      </c>
      <c r="L31" s="73" t="s">
        <v>131</v>
      </c>
      <c r="M31" s="73" t="s">
        <v>330</v>
      </c>
      <c r="N31" s="73" t="s">
        <v>346</v>
      </c>
      <c r="O31" s="73"/>
    </row>
    <row r="32" customFormat="false" ht="225.35" hidden="false" customHeight="false" outlineLevel="0" collapsed="false">
      <c r="A32" s="69" t="n">
        <v>40</v>
      </c>
      <c r="B32" s="69" t="s">
        <v>336</v>
      </c>
      <c r="C32" s="69" t="s">
        <v>156</v>
      </c>
      <c r="D32" s="69" t="s">
        <v>362</v>
      </c>
      <c r="E32" s="69" t="s">
        <v>363</v>
      </c>
      <c r="F32" s="69" t="s">
        <v>364</v>
      </c>
      <c r="G32" s="69" t="s">
        <v>313</v>
      </c>
      <c r="H32" s="69" t="s">
        <v>314</v>
      </c>
      <c r="I32" s="69"/>
      <c r="J32" s="77" t="n">
        <v>46157</v>
      </c>
      <c r="K32" s="69" t="s">
        <v>365</v>
      </c>
      <c r="L32" s="69" t="s">
        <v>130</v>
      </c>
      <c r="M32" s="69" t="s">
        <v>330</v>
      </c>
      <c r="N32" s="69" t="s">
        <v>346</v>
      </c>
      <c r="O32" s="69" t="s">
        <v>366</v>
      </c>
    </row>
    <row r="33" customFormat="false" ht="68.65" hidden="false" customHeight="false" outlineLevel="0" collapsed="false">
      <c r="A33" s="73" t="n">
        <v>41</v>
      </c>
      <c r="B33" s="73" t="s">
        <v>336</v>
      </c>
      <c r="C33" s="73" t="s">
        <v>156</v>
      </c>
      <c r="D33" s="73" t="s">
        <v>362</v>
      </c>
      <c r="E33" s="73" t="s">
        <v>367</v>
      </c>
      <c r="F33" s="73" t="s">
        <v>368</v>
      </c>
      <c r="G33" s="73" t="s">
        <v>314</v>
      </c>
      <c r="H33" s="73" t="s">
        <v>313</v>
      </c>
      <c r="I33" s="78" t="n">
        <v>46142</v>
      </c>
      <c r="J33" s="73" t="s">
        <v>315</v>
      </c>
      <c r="K33" s="73" t="s">
        <v>316</v>
      </c>
      <c r="L33" s="73" t="s">
        <v>130</v>
      </c>
      <c r="M33" s="73" t="s">
        <v>330</v>
      </c>
      <c r="N33" s="73" t="s">
        <v>346</v>
      </c>
      <c r="O33" s="73"/>
    </row>
    <row r="34" customFormat="false" ht="35.05" hidden="false" customHeight="false" outlineLevel="0" collapsed="false">
      <c r="A34" s="69" t="n">
        <v>42</v>
      </c>
      <c r="B34" s="69" t="s">
        <v>336</v>
      </c>
      <c r="C34" s="69" t="s">
        <v>156</v>
      </c>
      <c r="D34" s="69" t="s">
        <v>369</v>
      </c>
      <c r="E34" s="69" t="s">
        <v>370</v>
      </c>
      <c r="F34" s="69" t="s">
        <v>312</v>
      </c>
      <c r="G34" s="69" t="s">
        <v>313</v>
      </c>
      <c r="H34" s="69" t="s">
        <v>314</v>
      </c>
      <c r="I34" s="69"/>
      <c r="J34" s="69" t="s">
        <v>315</v>
      </c>
      <c r="K34" s="69" t="s">
        <v>316</v>
      </c>
      <c r="L34" s="69" t="s">
        <v>129</v>
      </c>
      <c r="M34" s="69" t="s">
        <v>317</v>
      </c>
      <c r="N34" s="69" t="s">
        <v>318</v>
      </c>
      <c r="O34" s="69"/>
    </row>
    <row r="35" customFormat="false" ht="158.2" hidden="false" customHeight="false" outlineLevel="0" collapsed="false">
      <c r="A35" s="73" t="n">
        <v>43</v>
      </c>
      <c r="B35" s="73" t="s">
        <v>336</v>
      </c>
      <c r="C35" s="73" t="s">
        <v>156</v>
      </c>
      <c r="D35" s="73" t="s">
        <v>371</v>
      </c>
      <c r="E35" s="73" t="s">
        <v>372</v>
      </c>
      <c r="F35" s="73" t="s">
        <v>312</v>
      </c>
      <c r="G35" s="73" t="s">
        <v>313</v>
      </c>
      <c r="H35" s="73" t="s">
        <v>314</v>
      </c>
      <c r="I35" s="73"/>
      <c r="J35" s="73" t="s">
        <v>315</v>
      </c>
      <c r="K35" s="73" t="s">
        <v>316</v>
      </c>
      <c r="L35" s="73" t="s">
        <v>129</v>
      </c>
      <c r="M35" s="73" t="s">
        <v>317</v>
      </c>
      <c r="N35" s="73" t="s">
        <v>318</v>
      </c>
      <c r="O35" s="73"/>
    </row>
    <row r="36" customFormat="false" ht="35.05" hidden="false" customHeight="false" outlineLevel="0" collapsed="false">
      <c r="A36" s="69" t="n">
        <v>44</v>
      </c>
      <c r="B36" s="69" t="s">
        <v>336</v>
      </c>
      <c r="C36" s="69" t="s">
        <v>156</v>
      </c>
      <c r="D36" s="69" t="s">
        <v>371</v>
      </c>
      <c r="E36" s="69" t="s">
        <v>373</v>
      </c>
      <c r="F36" s="69" t="s">
        <v>312</v>
      </c>
      <c r="G36" s="69" t="s">
        <v>314</v>
      </c>
      <c r="H36" s="69" t="s">
        <v>314</v>
      </c>
      <c r="I36" s="69"/>
      <c r="J36" s="69" t="s">
        <v>315</v>
      </c>
      <c r="K36" s="69" t="s">
        <v>316</v>
      </c>
      <c r="L36" s="69" t="s">
        <v>129</v>
      </c>
      <c r="M36" s="69" t="s">
        <v>317</v>
      </c>
      <c r="N36" s="69" t="s">
        <v>318</v>
      </c>
      <c r="O36" s="69"/>
    </row>
    <row r="37" customFormat="false" ht="35.05" hidden="false" customHeight="false" outlineLevel="0" collapsed="false">
      <c r="A37" s="73" t="n">
        <v>45</v>
      </c>
      <c r="B37" s="73" t="s">
        <v>336</v>
      </c>
      <c r="C37" s="73" t="s">
        <v>156</v>
      </c>
      <c r="D37" s="73" t="s">
        <v>374</v>
      </c>
      <c r="E37" s="73" t="s">
        <v>375</v>
      </c>
      <c r="F37" s="73" t="s">
        <v>312</v>
      </c>
      <c r="G37" s="73" t="s">
        <v>313</v>
      </c>
      <c r="H37" s="73" t="s">
        <v>314</v>
      </c>
      <c r="I37" s="73"/>
      <c r="J37" s="73" t="s">
        <v>315</v>
      </c>
      <c r="K37" s="73" t="s">
        <v>316</v>
      </c>
      <c r="L37" s="73" t="s">
        <v>129</v>
      </c>
      <c r="M37" s="73" t="s">
        <v>317</v>
      </c>
      <c r="N37" s="73" t="s">
        <v>318</v>
      </c>
      <c r="O37" s="73"/>
    </row>
    <row r="38" customFormat="false" ht="35.05" hidden="false" customHeight="false" outlineLevel="0" collapsed="false">
      <c r="A38" s="69" t="n">
        <v>54</v>
      </c>
      <c r="B38" s="69" t="s">
        <v>376</v>
      </c>
      <c r="C38" s="69" t="s">
        <v>156</v>
      </c>
      <c r="D38" s="69" t="s">
        <v>377</v>
      </c>
      <c r="E38" s="69" t="s">
        <v>378</v>
      </c>
      <c r="F38" s="69" t="s">
        <v>312</v>
      </c>
      <c r="G38" s="69" t="s">
        <v>313</v>
      </c>
      <c r="H38" s="69" t="s">
        <v>314</v>
      </c>
      <c r="I38" s="69"/>
      <c r="J38" s="69" t="s">
        <v>315</v>
      </c>
      <c r="K38" s="69" t="s">
        <v>316</v>
      </c>
      <c r="L38" s="69" t="s">
        <v>129</v>
      </c>
      <c r="M38" s="69" t="s">
        <v>317</v>
      </c>
      <c r="N38" s="69" t="s">
        <v>318</v>
      </c>
      <c r="O38" s="69"/>
    </row>
    <row r="39" customFormat="false" ht="46.25" hidden="false" customHeight="false" outlineLevel="0" collapsed="false">
      <c r="A39" s="73" t="n">
        <v>58</v>
      </c>
      <c r="B39" s="73" t="s">
        <v>376</v>
      </c>
      <c r="C39" s="73" t="s">
        <v>156</v>
      </c>
      <c r="D39" s="73" t="s">
        <v>379</v>
      </c>
      <c r="E39" s="73" t="s">
        <v>380</v>
      </c>
      <c r="F39" s="73" t="s">
        <v>312</v>
      </c>
      <c r="G39" s="73" t="s">
        <v>313</v>
      </c>
      <c r="H39" s="73" t="s">
        <v>314</v>
      </c>
      <c r="I39" s="73"/>
      <c r="J39" s="73" t="s">
        <v>315</v>
      </c>
      <c r="K39" s="73" t="s">
        <v>316</v>
      </c>
      <c r="L39" s="73" t="s">
        <v>129</v>
      </c>
      <c r="M39" s="73" t="s">
        <v>317</v>
      </c>
      <c r="N39" s="73" t="s">
        <v>318</v>
      </c>
      <c r="O39" s="73"/>
    </row>
    <row r="40" customFormat="false" ht="79.85" hidden="false" customHeight="false" outlineLevel="0" collapsed="false">
      <c r="A40" s="69" t="n">
        <v>59</v>
      </c>
      <c r="B40" s="69" t="s">
        <v>376</v>
      </c>
      <c r="C40" s="69" t="s">
        <v>156</v>
      </c>
      <c r="D40" s="69" t="s">
        <v>381</v>
      </c>
      <c r="E40" s="69" t="s">
        <v>382</v>
      </c>
      <c r="F40" s="69" t="s">
        <v>383</v>
      </c>
      <c r="G40" s="69" t="s">
        <v>313</v>
      </c>
      <c r="H40" s="69" t="s">
        <v>314</v>
      </c>
      <c r="I40" s="69"/>
      <c r="J40" s="77" t="n">
        <v>46157</v>
      </c>
      <c r="K40" s="69" t="s">
        <v>365</v>
      </c>
      <c r="L40" s="69" t="s">
        <v>131</v>
      </c>
      <c r="M40" s="69" t="s">
        <v>330</v>
      </c>
      <c r="N40" s="69" t="s">
        <v>346</v>
      </c>
      <c r="O40" s="69" t="s">
        <v>366</v>
      </c>
    </row>
    <row r="41" customFormat="false" ht="91" hidden="false" customHeight="false" outlineLevel="0" collapsed="false">
      <c r="A41" s="73" t="n">
        <v>71</v>
      </c>
      <c r="B41" s="73" t="s">
        <v>384</v>
      </c>
      <c r="C41" s="73" t="s">
        <v>156</v>
      </c>
      <c r="D41" s="73" t="s">
        <v>385</v>
      </c>
      <c r="E41" s="73" t="s">
        <v>386</v>
      </c>
      <c r="F41" s="73" t="s">
        <v>312</v>
      </c>
      <c r="G41" s="73" t="s">
        <v>313</v>
      </c>
      <c r="H41" s="73" t="s">
        <v>314</v>
      </c>
      <c r="I41" s="73"/>
      <c r="J41" s="73" t="s">
        <v>315</v>
      </c>
      <c r="K41" s="73" t="s">
        <v>316</v>
      </c>
      <c r="L41" s="73" t="s">
        <v>129</v>
      </c>
      <c r="M41" s="73" t="s">
        <v>317</v>
      </c>
      <c r="N41" s="73" t="s">
        <v>318</v>
      </c>
      <c r="O41" s="73"/>
    </row>
    <row r="42" customFormat="false" ht="147" hidden="false" customHeight="false" outlineLevel="0" collapsed="false">
      <c r="A42" s="69" t="n">
        <v>72</v>
      </c>
      <c r="B42" s="69" t="s">
        <v>384</v>
      </c>
      <c r="C42" s="69" t="s">
        <v>156</v>
      </c>
      <c r="D42" s="69" t="s">
        <v>387</v>
      </c>
      <c r="E42" s="69" t="s">
        <v>388</v>
      </c>
      <c r="F42" s="69" t="s">
        <v>312</v>
      </c>
      <c r="G42" s="69" t="s">
        <v>313</v>
      </c>
      <c r="H42" s="69" t="s">
        <v>314</v>
      </c>
      <c r="I42" s="69"/>
      <c r="J42" s="69" t="s">
        <v>315</v>
      </c>
      <c r="K42" s="69" t="s">
        <v>316</v>
      </c>
      <c r="L42" s="69" t="s">
        <v>129</v>
      </c>
      <c r="M42" s="69" t="s">
        <v>317</v>
      </c>
      <c r="N42" s="69" t="s">
        <v>318</v>
      </c>
      <c r="O42" s="69"/>
    </row>
    <row r="43" customFormat="false" ht="68.65" hidden="false" customHeight="false" outlineLevel="0" collapsed="false">
      <c r="A43" s="73" t="n">
        <v>73</v>
      </c>
      <c r="B43" s="73" t="s">
        <v>384</v>
      </c>
      <c r="C43" s="73" t="s">
        <v>156</v>
      </c>
      <c r="D43" s="73" t="s">
        <v>389</v>
      </c>
      <c r="E43" s="73" t="s">
        <v>390</v>
      </c>
      <c r="F43" s="73" t="s">
        <v>312</v>
      </c>
      <c r="G43" s="73" t="s">
        <v>313</v>
      </c>
      <c r="H43" s="73" t="s">
        <v>314</v>
      </c>
      <c r="I43" s="73"/>
      <c r="J43" s="73" t="s">
        <v>315</v>
      </c>
      <c r="K43" s="73" t="s">
        <v>316</v>
      </c>
      <c r="L43" s="73" t="s">
        <v>129</v>
      </c>
      <c r="M43" s="73" t="s">
        <v>317</v>
      </c>
      <c r="N43" s="73" t="s">
        <v>318</v>
      </c>
      <c r="O43" s="73"/>
    </row>
    <row r="44" customFormat="false" ht="68.65" hidden="false" customHeight="false" outlineLevel="0" collapsed="false">
      <c r="A44" s="69" t="n">
        <v>74</v>
      </c>
      <c r="B44" s="69" t="s">
        <v>384</v>
      </c>
      <c r="C44" s="69" t="s">
        <v>156</v>
      </c>
      <c r="D44" s="69" t="s">
        <v>391</v>
      </c>
      <c r="E44" s="69" t="s">
        <v>392</v>
      </c>
      <c r="F44" s="69" t="s">
        <v>312</v>
      </c>
      <c r="G44" s="69" t="s">
        <v>313</v>
      </c>
      <c r="H44" s="69" t="s">
        <v>314</v>
      </c>
      <c r="I44" s="69"/>
      <c r="J44" s="69" t="s">
        <v>315</v>
      </c>
      <c r="K44" s="69" t="s">
        <v>316</v>
      </c>
      <c r="L44" s="69" t="s">
        <v>129</v>
      </c>
      <c r="M44" s="69" t="s">
        <v>317</v>
      </c>
      <c r="N44" s="69" t="s">
        <v>318</v>
      </c>
      <c r="O44" s="69"/>
    </row>
    <row r="45" customFormat="false" ht="124.6" hidden="false" customHeight="false" outlineLevel="0" collapsed="false">
      <c r="A45" s="73" t="n">
        <v>18</v>
      </c>
      <c r="B45" s="73" t="s">
        <v>336</v>
      </c>
      <c r="C45" s="73" t="s">
        <v>393</v>
      </c>
      <c r="D45" s="73" t="s">
        <v>394</v>
      </c>
      <c r="E45" s="73" t="s">
        <v>395</v>
      </c>
      <c r="F45" s="73" t="s">
        <v>396</v>
      </c>
      <c r="G45" s="73" t="s">
        <v>314</v>
      </c>
      <c r="H45" s="73" t="s">
        <v>313</v>
      </c>
      <c r="I45" s="78" t="n">
        <v>46157</v>
      </c>
      <c r="J45" s="73" t="s">
        <v>315</v>
      </c>
      <c r="K45" s="73" t="s">
        <v>316</v>
      </c>
      <c r="L45" s="73" t="s">
        <v>129</v>
      </c>
      <c r="M45" s="73" t="s">
        <v>317</v>
      </c>
      <c r="N45" s="73" t="s">
        <v>318</v>
      </c>
      <c r="O45" s="73"/>
    </row>
    <row r="46" customFormat="false" ht="158.2" hidden="false" customHeight="false" outlineLevel="0" collapsed="false">
      <c r="A46" s="69" t="n">
        <v>19</v>
      </c>
      <c r="B46" s="69" t="s">
        <v>336</v>
      </c>
      <c r="C46" s="69" t="s">
        <v>393</v>
      </c>
      <c r="D46" s="69" t="s">
        <v>397</v>
      </c>
      <c r="E46" s="69" t="s">
        <v>398</v>
      </c>
      <c r="F46" s="69" t="s">
        <v>399</v>
      </c>
      <c r="G46" s="69" t="s">
        <v>314</v>
      </c>
      <c r="H46" s="69" t="s">
        <v>313</v>
      </c>
      <c r="I46" s="77" t="n">
        <v>46157</v>
      </c>
      <c r="J46" s="77" t="n">
        <v>46185</v>
      </c>
      <c r="K46" s="69" t="s">
        <v>365</v>
      </c>
      <c r="L46" s="69" t="s">
        <v>130</v>
      </c>
      <c r="M46" s="69" t="s">
        <v>400</v>
      </c>
      <c r="N46" s="69" t="s">
        <v>401</v>
      </c>
      <c r="O46" s="69"/>
    </row>
    <row r="47" customFormat="false" ht="35.05" hidden="false" customHeight="false" outlineLevel="0" collapsed="false">
      <c r="A47" s="73" t="n">
        <v>25</v>
      </c>
      <c r="B47" s="73" t="s">
        <v>336</v>
      </c>
      <c r="C47" s="73" t="s">
        <v>393</v>
      </c>
      <c r="D47" s="73" t="s">
        <v>337</v>
      </c>
      <c r="E47" s="73" t="s">
        <v>402</v>
      </c>
      <c r="F47" s="73" t="s">
        <v>403</v>
      </c>
      <c r="G47" s="73" t="s">
        <v>314</v>
      </c>
      <c r="H47" s="73" t="s">
        <v>313</v>
      </c>
      <c r="I47" s="78" t="n">
        <v>46157</v>
      </c>
      <c r="J47" s="73" t="s">
        <v>328</v>
      </c>
      <c r="K47" s="73" t="s">
        <v>345</v>
      </c>
      <c r="L47" s="73" t="s">
        <v>131</v>
      </c>
      <c r="M47" s="73" t="s">
        <v>400</v>
      </c>
      <c r="N47" s="73" t="s">
        <v>401</v>
      </c>
      <c r="O47" s="73"/>
    </row>
    <row r="48" customFormat="false" ht="79.85" hidden="false" customHeight="false" outlineLevel="0" collapsed="false">
      <c r="A48" s="69" t="n">
        <v>64</v>
      </c>
      <c r="B48" s="69" t="s">
        <v>404</v>
      </c>
      <c r="C48" s="69" t="s">
        <v>393</v>
      </c>
      <c r="D48" s="69" t="s">
        <v>405</v>
      </c>
      <c r="E48" s="69" t="s">
        <v>406</v>
      </c>
      <c r="F48" s="69" t="s">
        <v>407</v>
      </c>
      <c r="G48" s="69" t="s">
        <v>314</v>
      </c>
      <c r="H48" s="69" t="s">
        <v>313</v>
      </c>
      <c r="I48" s="77" t="n">
        <v>46157</v>
      </c>
      <c r="J48" s="77" t="n">
        <v>46185</v>
      </c>
      <c r="K48" s="69" t="s">
        <v>365</v>
      </c>
      <c r="L48" s="69" t="s">
        <v>130</v>
      </c>
      <c r="M48" s="69" t="s">
        <v>400</v>
      </c>
      <c r="N48" s="69" t="s">
        <v>401</v>
      </c>
      <c r="O48" s="69"/>
    </row>
    <row r="49" customFormat="false" ht="91" hidden="false" customHeight="false" outlineLevel="0" collapsed="false">
      <c r="A49" s="73" t="n">
        <v>65</v>
      </c>
      <c r="B49" s="73" t="s">
        <v>404</v>
      </c>
      <c r="C49" s="73" t="s">
        <v>393</v>
      </c>
      <c r="D49" s="73" t="s">
        <v>408</v>
      </c>
      <c r="E49" s="73" t="s">
        <v>409</v>
      </c>
      <c r="F49" s="73" t="s">
        <v>410</v>
      </c>
      <c r="G49" s="73" t="s">
        <v>314</v>
      </c>
      <c r="H49" s="73" t="s">
        <v>313</v>
      </c>
      <c r="I49" s="78" t="n">
        <v>46157</v>
      </c>
      <c r="J49" s="78" t="n">
        <v>46185</v>
      </c>
      <c r="K49" s="73" t="s">
        <v>365</v>
      </c>
      <c r="L49" s="73" t="s">
        <v>130</v>
      </c>
      <c r="M49" s="73" t="s">
        <v>400</v>
      </c>
      <c r="N49" s="73" t="s">
        <v>401</v>
      </c>
      <c r="O49" s="73"/>
    </row>
    <row r="50" customFormat="false" ht="102.2" hidden="false" customHeight="false" outlineLevel="0" collapsed="false">
      <c r="A50" s="69" t="n">
        <v>66</v>
      </c>
      <c r="B50" s="69" t="s">
        <v>404</v>
      </c>
      <c r="C50" s="69" t="s">
        <v>393</v>
      </c>
      <c r="D50" s="69" t="s">
        <v>411</v>
      </c>
      <c r="E50" s="69" t="s">
        <v>412</v>
      </c>
      <c r="F50" s="69" t="s">
        <v>413</v>
      </c>
      <c r="G50" s="69" t="s">
        <v>314</v>
      </c>
      <c r="H50" s="69" t="s">
        <v>313</v>
      </c>
      <c r="I50" s="77" t="n">
        <v>46157</v>
      </c>
      <c r="J50" s="77" t="n">
        <v>46185</v>
      </c>
      <c r="K50" s="69" t="s">
        <v>365</v>
      </c>
      <c r="L50" s="69" t="s">
        <v>130</v>
      </c>
      <c r="M50" s="69" t="s">
        <v>400</v>
      </c>
      <c r="N50" s="69" t="s">
        <v>401</v>
      </c>
      <c r="O50" s="69"/>
    </row>
    <row r="51" customFormat="false" ht="158.2" hidden="false" customHeight="false" outlineLevel="0" collapsed="false">
      <c r="A51" s="73" t="n">
        <v>67</v>
      </c>
      <c r="B51" s="73" t="s">
        <v>404</v>
      </c>
      <c r="C51" s="73" t="s">
        <v>393</v>
      </c>
      <c r="D51" s="73" t="s">
        <v>414</v>
      </c>
      <c r="E51" s="73" t="s">
        <v>415</v>
      </c>
      <c r="F51" s="73" t="s">
        <v>399</v>
      </c>
      <c r="G51" s="73" t="s">
        <v>314</v>
      </c>
      <c r="H51" s="73" t="s">
        <v>313</v>
      </c>
      <c r="I51" s="78" t="n">
        <v>46157</v>
      </c>
      <c r="J51" s="78" t="n">
        <v>46185</v>
      </c>
      <c r="K51" s="73" t="s">
        <v>365</v>
      </c>
      <c r="L51" s="73" t="s">
        <v>130</v>
      </c>
      <c r="M51" s="73" t="s">
        <v>400</v>
      </c>
      <c r="N51" s="73" t="s">
        <v>401</v>
      </c>
      <c r="O51" s="73"/>
    </row>
    <row r="52" customFormat="false" ht="79.85" hidden="false" customHeight="false" outlineLevel="0" collapsed="false">
      <c r="A52" s="69" t="n">
        <v>68</v>
      </c>
      <c r="B52" s="69" t="s">
        <v>404</v>
      </c>
      <c r="C52" s="69" t="s">
        <v>393</v>
      </c>
      <c r="D52" s="69" t="s">
        <v>416</v>
      </c>
      <c r="E52" s="69" t="s">
        <v>417</v>
      </c>
      <c r="F52" s="69" t="s">
        <v>418</v>
      </c>
      <c r="G52" s="69" t="s">
        <v>314</v>
      </c>
      <c r="H52" s="69" t="s">
        <v>313</v>
      </c>
      <c r="I52" s="77" t="n">
        <v>46157</v>
      </c>
      <c r="J52" s="77" t="n">
        <v>46185</v>
      </c>
      <c r="K52" s="69" t="s">
        <v>365</v>
      </c>
      <c r="L52" s="69" t="s">
        <v>130</v>
      </c>
      <c r="M52" s="69" t="s">
        <v>400</v>
      </c>
      <c r="N52" s="69" t="s">
        <v>401</v>
      </c>
      <c r="O52" s="69"/>
    </row>
    <row r="53" customFormat="false" ht="102.2" hidden="false" customHeight="false" outlineLevel="0" collapsed="false">
      <c r="A53" s="73" t="n">
        <v>69</v>
      </c>
      <c r="B53" s="73" t="s">
        <v>404</v>
      </c>
      <c r="C53" s="73" t="s">
        <v>393</v>
      </c>
      <c r="D53" s="73" t="s">
        <v>419</v>
      </c>
      <c r="E53" s="73" t="s">
        <v>420</v>
      </c>
      <c r="F53" s="73" t="s">
        <v>421</v>
      </c>
      <c r="G53" s="73" t="s">
        <v>314</v>
      </c>
      <c r="H53" s="73" t="s">
        <v>313</v>
      </c>
      <c r="I53" s="78" t="n">
        <v>46157</v>
      </c>
      <c r="J53" s="78" t="n">
        <v>46185</v>
      </c>
      <c r="K53" s="73" t="s">
        <v>365</v>
      </c>
      <c r="L53" s="73" t="s">
        <v>130</v>
      </c>
      <c r="M53" s="73" t="s">
        <v>400</v>
      </c>
      <c r="N53" s="73" t="s">
        <v>401</v>
      </c>
      <c r="O53" s="73"/>
    </row>
    <row r="54" customFormat="false" ht="113.4" hidden="false" customHeight="false" outlineLevel="0" collapsed="false">
      <c r="A54" s="69" t="n">
        <v>3</v>
      </c>
      <c r="B54" s="69" t="s">
        <v>422</v>
      </c>
      <c r="C54" s="69" t="s">
        <v>423</v>
      </c>
      <c r="D54" s="69" t="s">
        <v>424</v>
      </c>
      <c r="E54" s="69" t="s">
        <v>425</v>
      </c>
      <c r="F54" s="69" t="s">
        <v>403</v>
      </c>
      <c r="G54" s="69" t="s">
        <v>314</v>
      </c>
      <c r="H54" s="69" t="s">
        <v>313</v>
      </c>
      <c r="I54" s="77" t="n">
        <v>46164</v>
      </c>
      <c r="J54" s="69" t="s">
        <v>328</v>
      </c>
      <c r="K54" s="69" t="s">
        <v>329</v>
      </c>
      <c r="L54" s="69" t="s">
        <v>131</v>
      </c>
      <c r="M54" s="69" t="s">
        <v>400</v>
      </c>
      <c r="N54" s="69" t="s">
        <v>401</v>
      </c>
      <c r="O54" s="69"/>
    </row>
    <row r="55" customFormat="false" ht="102.2" hidden="false" customHeight="false" outlineLevel="0" collapsed="false">
      <c r="A55" s="73" t="n">
        <v>4</v>
      </c>
      <c r="B55" s="73" t="s">
        <v>422</v>
      </c>
      <c r="C55" s="73" t="s">
        <v>423</v>
      </c>
      <c r="D55" s="73" t="s">
        <v>426</v>
      </c>
      <c r="E55" s="73" t="s">
        <v>427</v>
      </c>
      <c r="F55" s="73" t="s">
        <v>403</v>
      </c>
      <c r="G55" s="73" t="s">
        <v>314</v>
      </c>
      <c r="H55" s="73" t="s">
        <v>313</v>
      </c>
      <c r="I55" s="78" t="n">
        <v>46164</v>
      </c>
      <c r="J55" s="73" t="s">
        <v>328</v>
      </c>
      <c r="K55" s="73" t="s">
        <v>329</v>
      </c>
      <c r="L55" s="73" t="s">
        <v>131</v>
      </c>
      <c r="M55" s="73" t="s">
        <v>400</v>
      </c>
      <c r="N55" s="73" t="s">
        <v>401</v>
      </c>
      <c r="O55" s="73"/>
    </row>
    <row r="56" customFormat="false" ht="337.3" hidden="false" customHeight="false" outlineLevel="0" collapsed="false">
      <c r="A56" s="69" t="n">
        <v>47</v>
      </c>
      <c r="B56" s="69" t="s">
        <v>428</v>
      </c>
      <c r="C56" s="69" t="s">
        <v>423</v>
      </c>
      <c r="D56" s="69" t="s">
        <v>429</v>
      </c>
      <c r="E56" s="69" t="s">
        <v>430</v>
      </c>
      <c r="F56" s="69" t="s">
        <v>431</v>
      </c>
      <c r="G56" s="69" t="s">
        <v>314</v>
      </c>
      <c r="H56" s="69" t="s">
        <v>313</v>
      </c>
      <c r="I56" s="77" t="n">
        <v>46164</v>
      </c>
      <c r="J56" s="77" t="n">
        <v>46164</v>
      </c>
      <c r="K56" s="69" t="s">
        <v>365</v>
      </c>
      <c r="L56" s="69" t="s">
        <v>131</v>
      </c>
      <c r="M56" s="69" t="s">
        <v>330</v>
      </c>
      <c r="N56" s="69" t="s">
        <v>346</v>
      </c>
      <c r="O56" s="69"/>
    </row>
    <row r="57" customFormat="false" ht="202.95" hidden="false" customHeight="false" outlineLevel="0" collapsed="false">
      <c r="A57" s="73" t="n">
        <v>49</v>
      </c>
      <c r="B57" s="73" t="s">
        <v>428</v>
      </c>
      <c r="C57" s="73" t="s">
        <v>423</v>
      </c>
      <c r="D57" s="73" t="s">
        <v>432</v>
      </c>
      <c r="E57" s="73" t="s">
        <v>433</v>
      </c>
      <c r="F57" s="73" t="s">
        <v>434</v>
      </c>
      <c r="G57" s="73" t="s">
        <v>314</v>
      </c>
      <c r="H57" s="73" t="s">
        <v>313</v>
      </c>
      <c r="I57" s="78" t="n">
        <v>46164</v>
      </c>
      <c r="J57" s="78" t="n">
        <v>46164</v>
      </c>
      <c r="K57" s="73" t="s">
        <v>365</v>
      </c>
      <c r="L57" s="73" t="s">
        <v>131</v>
      </c>
      <c r="M57" s="73" t="s">
        <v>330</v>
      </c>
      <c r="N57" s="73" t="s">
        <v>346</v>
      </c>
      <c r="O57" s="73"/>
    </row>
    <row r="58" customFormat="false" ht="113.4" hidden="false" customHeight="false" outlineLevel="0" collapsed="false">
      <c r="A58" s="69" t="n">
        <v>50</v>
      </c>
      <c r="B58" s="69" t="s">
        <v>428</v>
      </c>
      <c r="C58" s="69" t="s">
        <v>423</v>
      </c>
      <c r="D58" s="69" t="s">
        <v>435</v>
      </c>
      <c r="E58" s="69" t="s">
        <v>436</v>
      </c>
      <c r="F58" s="69" t="s">
        <v>437</v>
      </c>
      <c r="G58" s="69" t="s">
        <v>314</v>
      </c>
      <c r="H58" s="69" t="s">
        <v>313</v>
      </c>
      <c r="I58" s="77" t="n">
        <v>46164</v>
      </c>
      <c r="J58" s="77" t="n">
        <v>46164</v>
      </c>
      <c r="K58" s="69" t="s">
        <v>365</v>
      </c>
      <c r="L58" s="69" t="s">
        <v>131</v>
      </c>
      <c r="M58" s="69" t="s">
        <v>330</v>
      </c>
      <c r="N58" s="69" t="s">
        <v>346</v>
      </c>
      <c r="O58" s="69"/>
    </row>
    <row r="59" customFormat="false" ht="68.65" hidden="false" customHeight="false" outlineLevel="0" collapsed="false">
      <c r="A59" s="73" t="n">
        <v>51</v>
      </c>
      <c r="B59" s="73" t="s">
        <v>428</v>
      </c>
      <c r="C59" s="73" t="s">
        <v>423</v>
      </c>
      <c r="D59" s="73" t="s">
        <v>438</v>
      </c>
      <c r="E59" s="73" t="s">
        <v>439</v>
      </c>
      <c r="F59" s="73" t="s">
        <v>440</v>
      </c>
      <c r="G59" s="73" t="s">
        <v>314</v>
      </c>
      <c r="H59" s="73" t="s">
        <v>313</v>
      </c>
      <c r="I59" s="78" t="n">
        <v>46164</v>
      </c>
      <c r="J59" s="78" t="n">
        <v>46164</v>
      </c>
      <c r="K59" s="73" t="s">
        <v>365</v>
      </c>
      <c r="L59" s="73" t="s">
        <v>131</v>
      </c>
      <c r="M59" s="73" t="s">
        <v>330</v>
      </c>
      <c r="N59" s="73" t="s">
        <v>346</v>
      </c>
      <c r="O59" s="73"/>
    </row>
    <row r="60" customFormat="false" ht="247.75" hidden="false" customHeight="false" outlineLevel="0" collapsed="false">
      <c r="A60" s="69" t="n">
        <v>52</v>
      </c>
      <c r="B60" s="69" t="s">
        <v>428</v>
      </c>
      <c r="C60" s="69" t="s">
        <v>423</v>
      </c>
      <c r="D60" s="69" t="s">
        <v>441</v>
      </c>
      <c r="E60" s="69" t="s">
        <v>442</v>
      </c>
      <c r="F60" s="69" t="s">
        <v>443</v>
      </c>
      <c r="G60" s="69" t="s">
        <v>314</v>
      </c>
      <c r="H60" s="69" t="s">
        <v>313</v>
      </c>
      <c r="I60" s="77" t="n">
        <v>46164</v>
      </c>
      <c r="J60" s="77" t="n">
        <v>46164</v>
      </c>
      <c r="K60" s="69" t="s">
        <v>365</v>
      </c>
      <c r="L60" s="69" t="s">
        <v>131</v>
      </c>
      <c r="M60" s="69" t="s">
        <v>330</v>
      </c>
      <c r="N60" s="69" t="s">
        <v>346</v>
      </c>
      <c r="O60" s="69"/>
    </row>
    <row r="61" customFormat="false" ht="35.05" hidden="false" customHeight="false" outlineLevel="0" collapsed="false">
      <c r="A61" s="73" t="n">
        <v>55</v>
      </c>
      <c r="B61" s="73" t="s">
        <v>376</v>
      </c>
      <c r="C61" s="73" t="s">
        <v>423</v>
      </c>
      <c r="D61" s="73" t="s">
        <v>444</v>
      </c>
      <c r="E61" s="73" t="s">
        <v>445</v>
      </c>
      <c r="F61" s="73" t="s">
        <v>403</v>
      </c>
      <c r="G61" s="73" t="s">
        <v>314</v>
      </c>
      <c r="H61" s="73" t="s">
        <v>313</v>
      </c>
      <c r="I61" s="78" t="n">
        <v>46164</v>
      </c>
      <c r="J61" s="73" t="s">
        <v>328</v>
      </c>
      <c r="K61" s="73" t="s">
        <v>329</v>
      </c>
      <c r="L61" s="73" t="s">
        <v>131</v>
      </c>
      <c r="M61" s="73" t="s">
        <v>400</v>
      </c>
      <c r="N61" s="73" t="s">
        <v>401</v>
      </c>
      <c r="O61" s="73"/>
    </row>
    <row r="62" customFormat="false" ht="46.25" hidden="false" customHeight="false" outlineLevel="0" collapsed="false">
      <c r="A62" s="69" t="n">
        <v>56</v>
      </c>
      <c r="B62" s="69" t="s">
        <v>376</v>
      </c>
      <c r="C62" s="69" t="s">
        <v>423</v>
      </c>
      <c r="D62" s="69" t="s">
        <v>446</v>
      </c>
      <c r="E62" s="69" t="s">
        <v>447</v>
      </c>
      <c r="F62" s="69" t="s">
        <v>403</v>
      </c>
      <c r="G62" s="69" t="s">
        <v>314</v>
      </c>
      <c r="H62" s="69" t="s">
        <v>313</v>
      </c>
      <c r="I62" s="77" t="n">
        <v>46164</v>
      </c>
      <c r="J62" s="69" t="s">
        <v>328</v>
      </c>
      <c r="K62" s="69" t="s">
        <v>329</v>
      </c>
      <c r="L62" s="69" t="s">
        <v>131</v>
      </c>
      <c r="M62" s="69" t="s">
        <v>400</v>
      </c>
      <c r="N62" s="69" t="s">
        <v>401</v>
      </c>
      <c r="O62" s="69"/>
    </row>
    <row r="63" customFormat="false" ht="23.85" hidden="false" customHeight="false" outlineLevel="0" collapsed="false">
      <c r="A63" s="73" t="n">
        <v>57</v>
      </c>
      <c r="B63" s="73" t="s">
        <v>376</v>
      </c>
      <c r="C63" s="73" t="s">
        <v>423</v>
      </c>
      <c r="D63" s="73" t="s">
        <v>448</v>
      </c>
      <c r="E63" s="73" t="s">
        <v>449</v>
      </c>
      <c r="F63" s="73" t="s">
        <v>403</v>
      </c>
      <c r="G63" s="73" t="s">
        <v>450</v>
      </c>
      <c r="H63" s="73" t="s">
        <v>313</v>
      </c>
      <c r="I63" s="78" t="n">
        <v>46164</v>
      </c>
      <c r="J63" s="73" t="s">
        <v>328</v>
      </c>
      <c r="K63" s="73" t="s">
        <v>329</v>
      </c>
      <c r="L63" s="73" t="s">
        <v>131</v>
      </c>
      <c r="M63" s="73" t="s">
        <v>400</v>
      </c>
      <c r="N63" s="73" t="s">
        <v>401</v>
      </c>
      <c r="O63" s="73"/>
    </row>
    <row r="64" customFormat="false" ht="79.85" hidden="false" customHeight="false" outlineLevel="0" collapsed="false">
      <c r="A64" s="69" t="n">
        <v>60</v>
      </c>
      <c r="B64" s="69" t="s">
        <v>376</v>
      </c>
      <c r="C64" s="69" t="s">
        <v>423</v>
      </c>
      <c r="D64" s="69" t="s">
        <v>381</v>
      </c>
      <c r="E64" s="69" t="s">
        <v>451</v>
      </c>
      <c r="F64" s="69" t="s">
        <v>383</v>
      </c>
      <c r="G64" s="69" t="s">
        <v>314</v>
      </c>
      <c r="H64" s="69" t="s">
        <v>313</v>
      </c>
      <c r="I64" s="77" t="n">
        <v>46164</v>
      </c>
      <c r="J64" s="77" t="n">
        <v>46157</v>
      </c>
      <c r="K64" s="69" t="s">
        <v>365</v>
      </c>
      <c r="L64" s="69" t="s">
        <v>131</v>
      </c>
      <c r="M64" s="69" t="s">
        <v>330</v>
      </c>
      <c r="N64" s="69" t="s">
        <v>346</v>
      </c>
      <c r="O64" s="69"/>
    </row>
    <row r="65" customFormat="false" ht="113.4" hidden="false" customHeight="false" outlineLevel="0" collapsed="false">
      <c r="A65" s="73" t="n">
        <v>61</v>
      </c>
      <c r="B65" s="73" t="s">
        <v>376</v>
      </c>
      <c r="C65" s="73" t="s">
        <v>423</v>
      </c>
      <c r="D65" s="73" t="s">
        <v>452</v>
      </c>
      <c r="E65" s="73" t="s">
        <v>453</v>
      </c>
      <c r="F65" s="73" t="s">
        <v>454</v>
      </c>
      <c r="G65" s="73" t="s">
        <v>314</v>
      </c>
      <c r="H65" s="73" t="s">
        <v>313</v>
      </c>
      <c r="I65" s="78" t="n">
        <v>46164</v>
      </c>
      <c r="J65" s="78" t="n">
        <v>46164</v>
      </c>
      <c r="K65" s="73" t="s">
        <v>365</v>
      </c>
      <c r="L65" s="73" t="s">
        <v>131</v>
      </c>
      <c r="M65" s="73" t="s">
        <v>330</v>
      </c>
      <c r="N65" s="73" t="s">
        <v>346</v>
      </c>
      <c r="O65" s="73"/>
    </row>
    <row r="66" customFormat="false" ht="135.8" hidden="false" customHeight="false" outlineLevel="0" collapsed="false">
      <c r="A66" s="69" t="n">
        <v>62</v>
      </c>
      <c r="B66" s="69" t="s">
        <v>376</v>
      </c>
      <c r="C66" s="69" t="s">
        <v>423</v>
      </c>
      <c r="D66" s="69" t="s">
        <v>455</v>
      </c>
      <c r="E66" s="69" t="s">
        <v>456</v>
      </c>
      <c r="F66" s="69" t="s">
        <v>457</v>
      </c>
      <c r="G66" s="69" t="s">
        <v>314</v>
      </c>
      <c r="H66" s="69" t="s">
        <v>313</v>
      </c>
      <c r="I66" s="77" t="n">
        <v>46164</v>
      </c>
      <c r="J66" s="77" t="n">
        <v>46164</v>
      </c>
      <c r="K66" s="69" t="s">
        <v>365</v>
      </c>
      <c r="L66" s="69" t="s">
        <v>131</v>
      </c>
      <c r="M66" s="69" t="s">
        <v>330</v>
      </c>
      <c r="N66" s="69" t="s">
        <v>346</v>
      </c>
      <c r="O66" s="69"/>
    </row>
    <row r="67" customFormat="false" ht="79.85" hidden="false" customHeight="false" outlineLevel="0" collapsed="false">
      <c r="A67" s="73" t="n">
        <v>63</v>
      </c>
      <c r="B67" s="73" t="s">
        <v>458</v>
      </c>
      <c r="C67" s="73" t="s">
        <v>156</v>
      </c>
      <c r="D67" s="73" t="s">
        <v>459</v>
      </c>
      <c r="E67" s="73" t="s">
        <v>460</v>
      </c>
      <c r="F67" s="73" t="s">
        <v>461</v>
      </c>
      <c r="G67" s="73" t="s">
        <v>314</v>
      </c>
      <c r="H67" s="73" t="s">
        <v>314</v>
      </c>
      <c r="I67" s="73"/>
      <c r="J67" s="78" t="n">
        <v>46122</v>
      </c>
      <c r="K67" s="73" t="s">
        <v>365</v>
      </c>
      <c r="L67" s="73" t="s">
        <v>131</v>
      </c>
      <c r="M67" s="73" t="s">
        <v>330</v>
      </c>
      <c r="N67" s="73" t="s">
        <v>346</v>
      </c>
      <c r="O67" s="73"/>
    </row>
    <row r="68" customFormat="false" ht="124.6" hidden="false" customHeight="false" outlineLevel="0" collapsed="false">
      <c r="A68" s="69" t="n">
        <v>64</v>
      </c>
      <c r="B68" s="69" t="s">
        <v>458</v>
      </c>
      <c r="C68" s="69" t="s">
        <v>156</v>
      </c>
      <c r="D68" s="69" t="s">
        <v>459</v>
      </c>
      <c r="E68" s="69" t="s">
        <v>462</v>
      </c>
      <c r="F68" s="69" t="s">
        <v>463</v>
      </c>
      <c r="G68" s="69"/>
      <c r="H68" s="69"/>
      <c r="I68" s="69"/>
      <c r="J68" s="77" t="n">
        <v>46105</v>
      </c>
      <c r="K68" s="69" t="s">
        <v>365</v>
      </c>
      <c r="L68" s="69" t="s">
        <v>131</v>
      </c>
      <c r="M68" s="69" t="s">
        <v>330</v>
      </c>
      <c r="N68" s="69" t="s">
        <v>346</v>
      </c>
      <c r="O68" s="69"/>
    </row>
    <row r="69" customFormat="false" ht="785.05" hidden="false" customHeight="false" outlineLevel="0" collapsed="false">
      <c r="A69" s="73" t="n">
        <v>65</v>
      </c>
      <c r="B69" s="73" t="s">
        <v>458</v>
      </c>
      <c r="C69" s="73" t="s">
        <v>156</v>
      </c>
      <c r="D69" s="73" t="s">
        <v>459</v>
      </c>
      <c r="E69" s="73" t="s">
        <v>464</v>
      </c>
      <c r="F69" s="73" t="s">
        <v>465</v>
      </c>
      <c r="G69" s="73"/>
      <c r="H69" s="73"/>
      <c r="I69" s="73"/>
      <c r="J69" s="78" t="n">
        <v>46210</v>
      </c>
      <c r="K69" s="73" t="s">
        <v>365</v>
      </c>
      <c r="L69" s="73" t="s">
        <v>131</v>
      </c>
      <c r="M69" s="73" t="s">
        <v>330</v>
      </c>
      <c r="N69" s="73" t="s">
        <v>346</v>
      </c>
      <c r="O69" s="73" t="s">
        <v>466</v>
      </c>
    </row>
    <row r="70" customFormat="false" ht="79.85" hidden="false" customHeight="false" outlineLevel="0" collapsed="false">
      <c r="A70" s="69" t="n">
        <v>66</v>
      </c>
      <c r="B70" s="69" t="s">
        <v>458</v>
      </c>
      <c r="C70" s="69" t="s">
        <v>156</v>
      </c>
      <c r="D70" s="69" t="s">
        <v>459</v>
      </c>
      <c r="E70" s="69" t="s">
        <v>467</v>
      </c>
      <c r="F70" s="69" t="s">
        <v>468</v>
      </c>
      <c r="G70" s="69"/>
      <c r="H70" s="69"/>
      <c r="I70" s="69"/>
      <c r="J70" s="77" t="n">
        <v>46210</v>
      </c>
      <c r="K70" s="69" t="s">
        <v>365</v>
      </c>
      <c r="L70" s="69" t="s">
        <v>131</v>
      </c>
      <c r="M70" s="69" t="s">
        <v>330</v>
      </c>
      <c r="N70" s="69" t="s">
        <v>346</v>
      </c>
      <c r="O70" s="69" t="s">
        <v>469</v>
      </c>
    </row>
    <row r="71" customFormat="false" ht="639.55" hidden="false" customHeight="false" outlineLevel="0" collapsed="false">
      <c r="A71" s="73" t="n">
        <v>67</v>
      </c>
      <c r="B71" s="73" t="s">
        <v>458</v>
      </c>
      <c r="C71" s="73" t="s">
        <v>156</v>
      </c>
      <c r="D71" s="73" t="s">
        <v>459</v>
      </c>
      <c r="E71" s="73" t="s">
        <v>470</v>
      </c>
      <c r="F71" s="73" t="s">
        <v>471</v>
      </c>
      <c r="G71" s="73"/>
      <c r="H71" s="73"/>
      <c r="I71" s="73"/>
      <c r="J71" s="78" t="n">
        <v>46210</v>
      </c>
      <c r="K71" s="73" t="s">
        <v>365</v>
      </c>
      <c r="L71" s="73" t="s">
        <v>131</v>
      </c>
      <c r="M71" s="73" t="s">
        <v>330</v>
      </c>
      <c r="N71" s="73" t="s">
        <v>346</v>
      </c>
      <c r="O71" s="73" t="s">
        <v>466</v>
      </c>
    </row>
  </sheetData>
  <autoFilter ref="A1:O71"/>
  <conditionalFormatting sqref="L2:L71">
    <cfRule type="cellIs" priority="2" operator="equal" aboveAverage="0" equalAverage="0" bottom="0" percent="0" rank="0" text="" dxfId="15">
      <formula>"COMPLETAR"</formula>
    </cfRule>
    <cfRule type="cellIs" priority="3" operator="equal" aboveAverage="0" equalAverage="0" bottom="0" percent="0" rank="0" text="" dxfId="16">
      <formula>"Falta planificación"</formula>
    </cfRule>
    <cfRule type="cellIs" priority="4" operator="equal" aboveAverage="0" equalAverage="0" bottom="0" percent="0" rank="0" text="" dxfId="17">
      <formula>"Programado"</formula>
    </cfRule>
    <cfRule type="cellIs" priority="5" operator="equal" aboveAverage="0" equalAverage="0" bottom="0" percent="0" rank="0" text="" dxfId="18">
      <formula>"No iniciado"</formula>
    </cfRule>
    <cfRule type="cellIs" priority="6" operator="equal" aboveAverage="0" equalAverage="0" bottom="0" percent="0" rank="0" text="" dxfId="19">
      <formula>"Inicio anticipado"</formula>
    </cfRule>
    <cfRule type="cellIs" priority="7" operator="equal" aboveAverage="0" equalAverage="0" bottom="0" percent="0" rank="0" text="" dxfId="20">
      <formula>"En curso"</formula>
    </cfRule>
    <cfRule type="cellIs" priority="8" operator="equal" aboveAverage="0" equalAverage="0" bottom="0" percent="0" rank="0" text="" dxfId="21">
      <formula>"Inicio retrasado"</formula>
    </cfRule>
    <cfRule type="cellIs" priority="9" operator="equal" aboveAverage="0" equalAverage="0" bottom="0" percent="0" rank="0" text="" dxfId="15">
      <formula>"Atrasado"</formula>
    </cfRule>
    <cfRule type="cellIs" priority="10" operator="equal" aboveAverage="0" equalAverage="0" bottom="0" percent="0" rank="0" text="" dxfId="19">
      <formula>"Finalizado anticipado"</formula>
    </cfRule>
    <cfRule type="cellIs" priority="11" operator="equal" aboveAverage="0" equalAverage="0" bottom="0" percent="0" rank="0" text="" dxfId="22">
      <formula>"Finalizado"</formula>
    </cfRule>
    <cfRule type="cellIs" priority="12" operator="equal" aboveAverage="0" equalAverage="0" bottom="0" percent="0" rank="0" text="" dxfId="21">
      <formula>"Finalizado con desfase"</formula>
    </cfRule>
    <cfRule type="cellIs" priority="13" operator="equal" aboveAverage="0" equalAverage="0" bottom="0" percent="0" rank="0" text="" dxfId="22">
      <formula>"Listo"</formula>
    </cfRule>
    <cfRule type="cellIs" priority="14" operator="equal" aboveAverage="0" equalAverage="0" bottom="0" percent="0" rank="0" text="" dxfId="20">
      <formula>"Maqueta"</formula>
    </cfRule>
    <cfRule type="cellIs" priority="15" operator="equal" aboveAverage="0" equalAverage="0" bottom="0" percent="0" rank="0" text="" dxfId="18">
      <formula>"Pendiente"</formula>
    </cfRule>
    <cfRule type="cellIs" priority="16" operator="equal" aboveAverage="0" equalAverage="0" bottom="0" percent="0" rank="0" text="" dxfId="21">
      <formula>"Observado"</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K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11" min="2" style="0" width="16"/>
  </cols>
  <sheetData>
    <row r="1" customFormat="false" ht="27.75" hidden="false" customHeight="true" outlineLevel="0" collapsed="false">
      <c r="A1" s="66" t="s">
        <v>298</v>
      </c>
      <c r="B1" s="66" t="s">
        <v>47</v>
      </c>
      <c r="C1" s="66" t="s">
        <v>472</v>
      </c>
      <c r="D1" s="66" t="s">
        <v>300</v>
      </c>
      <c r="E1" s="66" t="s">
        <v>473</v>
      </c>
      <c r="F1" s="66" t="s">
        <v>474</v>
      </c>
      <c r="G1" s="66" t="s">
        <v>475</v>
      </c>
      <c r="H1" s="66" t="s">
        <v>476</v>
      </c>
      <c r="I1" s="66" t="s">
        <v>308</v>
      </c>
      <c r="J1" s="66" t="s">
        <v>68</v>
      </c>
      <c r="K1" s="66"/>
    </row>
    <row r="2" customFormat="false" ht="35.05" hidden="false" customHeight="false" outlineLevel="0" collapsed="false">
      <c r="A2" s="69" t="n">
        <v>1</v>
      </c>
      <c r="B2" s="69" t="s">
        <v>477</v>
      </c>
      <c r="C2" s="69" t="s">
        <v>478</v>
      </c>
      <c r="D2" s="69" t="s">
        <v>479</v>
      </c>
      <c r="E2" s="69" t="s">
        <v>480</v>
      </c>
      <c r="F2" s="69" t="s">
        <v>481</v>
      </c>
      <c r="G2" s="69" t="s">
        <v>482</v>
      </c>
      <c r="H2" s="69" t="s">
        <v>129</v>
      </c>
      <c r="I2" s="69" t="s">
        <v>483</v>
      </c>
      <c r="J2" s="69" t="s">
        <v>484</v>
      </c>
      <c r="K2" s="69"/>
    </row>
    <row r="3" customFormat="false" ht="23.85" hidden="false" customHeight="false" outlineLevel="0" collapsed="false">
      <c r="A3" s="73" t="n">
        <v>2</v>
      </c>
      <c r="B3" s="73" t="s">
        <v>477</v>
      </c>
      <c r="C3" s="73" t="s">
        <v>478</v>
      </c>
      <c r="D3" s="73" t="s">
        <v>485</v>
      </c>
      <c r="E3" s="73" t="s">
        <v>486</v>
      </c>
      <c r="F3" s="73" t="s">
        <v>481</v>
      </c>
      <c r="G3" s="73" t="s">
        <v>482</v>
      </c>
      <c r="H3" s="73" t="s">
        <v>129</v>
      </c>
      <c r="I3" s="73" t="s">
        <v>483</v>
      </c>
      <c r="J3" s="73" t="s">
        <v>484</v>
      </c>
      <c r="K3" s="73"/>
    </row>
    <row r="4" customFormat="false" ht="23.85" hidden="false" customHeight="false" outlineLevel="0" collapsed="false">
      <c r="A4" s="69" t="n">
        <v>3</v>
      </c>
      <c r="B4" s="69" t="s">
        <v>477</v>
      </c>
      <c r="C4" s="69" t="s">
        <v>478</v>
      </c>
      <c r="D4" s="69" t="s">
        <v>487</v>
      </c>
      <c r="E4" s="69" t="s">
        <v>488</v>
      </c>
      <c r="F4" s="69" t="s">
        <v>481</v>
      </c>
      <c r="G4" s="69" t="s">
        <v>482</v>
      </c>
      <c r="H4" s="69" t="s">
        <v>129</v>
      </c>
      <c r="I4" s="69" t="s">
        <v>483</v>
      </c>
      <c r="J4" s="69" t="s">
        <v>484</v>
      </c>
      <c r="K4" s="69"/>
    </row>
    <row r="5" customFormat="false" ht="23.85" hidden="false" customHeight="false" outlineLevel="0" collapsed="false">
      <c r="A5" s="73" t="n">
        <v>4</v>
      </c>
      <c r="B5" s="73" t="s">
        <v>477</v>
      </c>
      <c r="C5" s="73" t="s">
        <v>478</v>
      </c>
      <c r="D5" s="73" t="s">
        <v>489</v>
      </c>
      <c r="E5" s="73" t="s">
        <v>490</v>
      </c>
      <c r="F5" s="73" t="s">
        <v>481</v>
      </c>
      <c r="G5" s="73" t="s">
        <v>482</v>
      </c>
      <c r="H5" s="73" t="s">
        <v>131</v>
      </c>
      <c r="I5" s="73" t="s">
        <v>491</v>
      </c>
      <c r="J5" s="73" t="s">
        <v>346</v>
      </c>
      <c r="K5" s="73"/>
    </row>
    <row r="6" customFormat="false" ht="23.85" hidden="false" customHeight="false" outlineLevel="0" collapsed="false">
      <c r="A6" s="69" t="n">
        <v>5</v>
      </c>
      <c r="B6" s="69" t="s">
        <v>477</v>
      </c>
      <c r="C6" s="69" t="s">
        <v>478</v>
      </c>
      <c r="D6" s="69" t="s">
        <v>492</v>
      </c>
      <c r="E6" s="69" t="s">
        <v>493</v>
      </c>
      <c r="F6" s="69" t="s">
        <v>481</v>
      </c>
      <c r="G6" s="69" t="s">
        <v>494</v>
      </c>
      <c r="H6" s="69" t="s">
        <v>129</v>
      </c>
      <c r="I6" s="69" t="s">
        <v>483</v>
      </c>
      <c r="J6" s="69" t="s">
        <v>484</v>
      </c>
      <c r="K6" s="69"/>
    </row>
    <row r="7" customFormat="false" ht="23.85" hidden="false" customHeight="false" outlineLevel="0" collapsed="false">
      <c r="A7" s="73" t="n">
        <v>6</v>
      </c>
      <c r="B7" s="73" t="s">
        <v>477</v>
      </c>
      <c r="C7" s="73" t="s">
        <v>478</v>
      </c>
      <c r="D7" s="73" t="s">
        <v>495</v>
      </c>
      <c r="E7" s="73" t="s">
        <v>496</v>
      </c>
      <c r="F7" s="73" t="s">
        <v>481</v>
      </c>
      <c r="G7" s="73" t="s">
        <v>494</v>
      </c>
      <c r="H7" s="73" t="s">
        <v>129</v>
      </c>
      <c r="I7" s="73" t="s">
        <v>483</v>
      </c>
      <c r="J7" s="73" t="s">
        <v>484</v>
      </c>
      <c r="K7" s="73"/>
    </row>
    <row r="8" customFormat="false" ht="23.85" hidden="false" customHeight="false" outlineLevel="0" collapsed="false">
      <c r="A8" s="69" t="n">
        <v>7</v>
      </c>
      <c r="B8" s="69" t="s">
        <v>477</v>
      </c>
      <c r="C8" s="69" t="s">
        <v>478</v>
      </c>
      <c r="D8" s="69" t="s">
        <v>497</v>
      </c>
      <c r="E8" s="69" t="s">
        <v>498</v>
      </c>
      <c r="F8" s="69" t="s">
        <v>481</v>
      </c>
      <c r="G8" s="69" t="s">
        <v>494</v>
      </c>
      <c r="H8" s="69" t="s">
        <v>129</v>
      </c>
      <c r="I8" s="69" t="s">
        <v>483</v>
      </c>
      <c r="J8" s="69" t="s">
        <v>484</v>
      </c>
      <c r="K8" s="69"/>
    </row>
    <row r="9" customFormat="false" ht="23.85" hidden="false" customHeight="false" outlineLevel="0" collapsed="false">
      <c r="A9" s="73" t="n">
        <v>8</v>
      </c>
      <c r="B9" s="73" t="s">
        <v>477</v>
      </c>
      <c r="C9" s="73" t="s">
        <v>478</v>
      </c>
      <c r="D9" s="73" t="s">
        <v>499</v>
      </c>
      <c r="E9" s="73" t="s">
        <v>500</v>
      </c>
      <c r="F9" s="73" t="s">
        <v>481</v>
      </c>
      <c r="G9" s="73" t="s">
        <v>494</v>
      </c>
      <c r="H9" s="73" t="s">
        <v>129</v>
      </c>
      <c r="I9" s="73" t="s">
        <v>483</v>
      </c>
      <c r="J9" s="73" t="s">
        <v>484</v>
      </c>
      <c r="K9" s="73"/>
    </row>
    <row r="10" customFormat="false" ht="35.05" hidden="false" customHeight="false" outlineLevel="0" collapsed="false">
      <c r="A10" s="69" t="n">
        <v>9</v>
      </c>
      <c r="B10" s="69" t="s">
        <v>477</v>
      </c>
      <c r="C10" s="69" t="s">
        <v>478</v>
      </c>
      <c r="D10" s="69" t="s">
        <v>501</v>
      </c>
      <c r="E10" s="69" t="s">
        <v>502</v>
      </c>
      <c r="F10" s="69" t="s">
        <v>481</v>
      </c>
      <c r="G10" s="69" t="s">
        <v>503</v>
      </c>
      <c r="H10" s="69" t="s">
        <v>129</v>
      </c>
      <c r="I10" s="69" t="s">
        <v>483</v>
      </c>
      <c r="J10" s="69" t="s">
        <v>484</v>
      </c>
      <c r="K10" s="69"/>
    </row>
    <row r="11" customFormat="false" ht="35.05" hidden="false" customHeight="false" outlineLevel="0" collapsed="false">
      <c r="A11" s="73" t="n">
        <v>10</v>
      </c>
      <c r="B11" s="73" t="s">
        <v>477</v>
      </c>
      <c r="C11" s="73" t="s">
        <v>478</v>
      </c>
      <c r="D11" s="73" t="s">
        <v>504</v>
      </c>
      <c r="E11" s="73" t="s">
        <v>505</v>
      </c>
      <c r="F11" s="73" t="s">
        <v>481</v>
      </c>
      <c r="G11" s="73" t="s">
        <v>503</v>
      </c>
      <c r="H11" s="73" t="s">
        <v>129</v>
      </c>
      <c r="I11" s="73" t="s">
        <v>483</v>
      </c>
      <c r="J11" s="73" t="s">
        <v>484</v>
      </c>
      <c r="K11" s="73"/>
    </row>
    <row r="12" customFormat="false" ht="23.85" hidden="false" customHeight="false" outlineLevel="0" collapsed="false">
      <c r="A12" s="69" t="n">
        <v>11</v>
      </c>
      <c r="B12" s="69" t="s">
        <v>477</v>
      </c>
      <c r="C12" s="69" t="s">
        <v>478</v>
      </c>
      <c r="D12" s="69" t="s">
        <v>506</v>
      </c>
      <c r="E12" s="69" t="s">
        <v>507</v>
      </c>
      <c r="F12" s="69" t="s">
        <v>481</v>
      </c>
      <c r="G12" s="69" t="s">
        <v>503</v>
      </c>
      <c r="H12" s="69" t="s">
        <v>129</v>
      </c>
      <c r="I12" s="69" t="s">
        <v>483</v>
      </c>
      <c r="J12" s="69" t="s">
        <v>484</v>
      </c>
      <c r="K12" s="69"/>
    </row>
    <row r="13" customFormat="false" ht="35.05" hidden="false" customHeight="false" outlineLevel="0" collapsed="false">
      <c r="A13" s="73" t="n">
        <v>12</v>
      </c>
      <c r="B13" s="73" t="s">
        <v>477</v>
      </c>
      <c r="C13" s="73" t="s">
        <v>478</v>
      </c>
      <c r="D13" s="73" t="s">
        <v>508</v>
      </c>
      <c r="E13" s="73" t="s">
        <v>509</v>
      </c>
      <c r="F13" s="73" t="s">
        <v>481</v>
      </c>
      <c r="G13" s="73" t="s">
        <v>503</v>
      </c>
      <c r="H13" s="73" t="s">
        <v>129</v>
      </c>
      <c r="I13" s="73" t="s">
        <v>483</v>
      </c>
      <c r="J13" s="73" t="s">
        <v>484</v>
      </c>
      <c r="K13" s="73"/>
    </row>
    <row r="14" customFormat="false" ht="35.05" hidden="false" customHeight="false" outlineLevel="0" collapsed="false">
      <c r="A14" s="69" t="n">
        <v>13</v>
      </c>
      <c r="B14" s="69" t="s">
        <v>477</v>
      </c>
      <c r="C14" s="69" t="s">
        <v>478</v>
      </c>
      <c r="D14" s="69" t="s">
        <v>510</v>
      </c>
      <c r="E14" s="69" t="s">
        <v>511</v>
      </c>
      <c r="F14" s="69" t="s">
        <v>512</v>
      </c>
      <c r="G14" s="69" t="s">
        <v>503</v>
      </c>
      <c r="H14" s="69" t="s">
        <v>129</v>
      </c>
      <c r="I14" s="69" t="s">
        <v>483</v>
      </c>
      <c r="J14" s="69" t="s">
        <v>484</v>
      </c>
      <c r="K14" s="69"/>
    </row>
    <row r="15" customFormat="false" ht="35.05" hidden="false" customHeight="false" outlineLevel="0" collapsed="false">
      <c r="A15" s="73" t="n">
        <v>14</v>
      </c>
      <c r="B15" s="73" t="s">
        <v>477</v>
      </c>
      <c r="C15" s="73" t="s">
        <v>513</v>
      </c>
      <c r="D15" s="73" t="s">
        <v>514</v>
      </c>
      <c r="E15" s="73" t="s">
        <v>515</v>
      </c>
      <c r="F15" s="73" t="s">
        <v>481</v>
      </c>
      <c r="G15" s="73" t="s">
        <v>516</v>
      </c>
      <c r="H15" s="73" t="s">
        <v>132</v>
      </c>
      <c r="I15" s="73" t="s">
        <v>517</v>
      </c>
      <c r="J15" s="73" t="s">
        <v>346</v>
      </c>
      <c r="K15" s="73" t="s">
        <v>518</v>
      </c>
    </row>
    <row r="16" customFormat="false" ht="23.85" hidden="false" customHeight="false" outlineLevel="0" collapsed="false">
      <c r="A16" s="69" t="n">
        <v>15</v>
      </c>
      <c r="B16" s="69" t="s">
        <v>477</v>
      </c>
      <c r="C16" s="69" t="s">
        <v>513</v>
      </c>
      <c r="D16" s="69" t="s">
        <v>519</v>
      </c>
      <c r="E16" s="69" t="s">
        <v>520</v>
      </c>
      <c r="F16" s="69" t="s">
        <v>481</v>
      </c>
      <c r="G16" s="69" t="s">
        <v>521</v>
      </c>
      <c r="H16" s="69" t="s">
        <v>129</v>
      </c>
      <c r="I16" s="69" t="s">
        <v>483</v>
      </c>
      <c r="J16" s="69" t="s">
        <v>484</v>
      </c>
      <c r="K16" s="69"/>
    </row>
    <row r="17" customFormat="false" ht="46.25" hidden="false" customHeight="false" outlineLevel="0" collapsed="false">
      <c r="A17" s="73" t="n">
        <v>16</v>
      </c>
      <c r="B17" s="73" t="s">
        <v>477</v>
      </c>
      <c r="C17" s="73" t="s">
        <v>513</v>
      </c>
      <c r="D17" s="73" t="s">
        <v>522</v>
      </c>
      <c r="E17" s="73" t="s">
        <v>523</v>
      </c>
      <c r="F17" s="73" t="s">
        <v>481</v>
      </c>
      <c r="G17" s="73" t="s">
        <v>524</v>
      </c>
      <c r="H17" s="73" t="s">
        <v>132</v>
      </c>
      <c r="I17" s="73" t="s">
        <v>517</v>
      </c>
      <c r="J17" s="73" t="s">
        <v>346</v>
      </c>
      <c r="K17" s="73" t="s">
        <v>525</v>
      </c>
    </row>
    <row r="18" customFormat="false" ht="35.05" hidden="false" customHeight="false" outlineLevel="0" collapsed="false">
      <c r="A18" s="69" t="n">
        <v>17</v>
      </c>
      <c r="B18" s="69" t="s">
        <v>477</v>
      </c>
      <c r="C18" s="69" t="s">
        <v>513</v>
      </c>
      <c r="D18" s="69" t="s">
        <v>526</v>
      </c>
      <c r="E18" s="69" t="s">
        <v>527</v>
      </c>
      <c r="F18" s="69" t="s">
        <v>481</v>
      </c>
      <c r="G18" s="69" t="s">
        <v>524</v>
      </c>
      <c r="H18" s="69" t="s">
        <v>131</v>
      </c>
      <c r="I18" s="69" t="s">
        <v>491</v>
      </c>
      <c r="J18" s="69" t="s">
        <v>346</v>
      </c>
      <c r="K18" s="69"/>
    </row>
    <row r="19" customFormat="false" ht="23.85" hidden="false" customHeight="false" outlineLevel="0" collapsed="false">
      <c r="A19" s="73" t="n">
        <v>18</v>
      </c>
      <c r="B19" s="73" t="s">
        <v>477</v>
      </c>
      <c r="C19" s="73" t="s">
        <v>513</v>
      </c>
      <c r="D19" s="73" t="s">
        <v>528</v>
      </c>
      <c r="E19" s="73" t="s">
        <v>529</v>
      </c>
      <c r="F19" s="73" t="s">
        <v>481</v>
      </c>
      <c r="G19" s="73" t="s">
        <v>524</v>
      </c>
      <c r="H19" s="73" t="s">
        <v>129</v>
      </c>
      <c r="I19" s="73" t="s">
        <v>483</v>
      </c>
      <c r="J19" s="73" t="s">
        <v>484</v>
      </c>
      <c r="K19" s="73"/>
    </row>
    <row r="20" customFormat="false" ht="23.85" hidden="false" customHeight="false" outlineLevel="0" collapsed="false">
      <c r="A20" s="69" t="n">
        <v>19</v>
      </c>
      <c r="B20" s="69" t="s">
        <v>477</v>
      </c>
      <c r="C20" s="69" t="s">
        <v>513</v>
      </c>
      <c r="D20" s="69" t="s">
        <v>530</v>
      </c>
      <c r="E20" s="69" t="s">
        <v>531</v>
      </c>
      <c r="F20" s="69" t="s">
        <v>481</v>
      </c>
      <c r="G20" s="69" t="s">
        <v>524</v>
      </c>
      <c r="H20" s="69" t="s">
        <v>131</v>
      </c>
      <c r="I20" s="69" t="s">
        <v>491</v>
      </c>
      <c r="J20" s="69" t="s">
        <v>346</v>
      </c>
      <c r="K20" s="69"/>
    </row>
    <row r="21" customFormat="false" ht="35.05" hidden="false" customHeight="false" outlineLevel="0" collapsed="false">
      <c r="A21" s="73" t="n">
        <v>20</v>
      </c>
      <c r="B21" s="73" t="s">
        <v>477</v>
      </c>
      <c r="C21" s="73" t="s">
        <v>513</v>
      </c>
      <c r="D21" s="73" t="s">
        <v>532</v>
      </c>
      <c r="E21" s="73" t="s">
        <v>533</v>
      </c>
      <c r="F21" s="73" t="s">
        <v>481</v>
      </c>
      <c r="G21" s="73" t="s">
        <v>534</v>
      </c>
      <c r="H21" s="73" t="s">
        <v>129</v>
      </c>
      <c r="I21" s="73" t="s">
        <v>483</v>
      </c>
      <c r="J21" s="73" t="s">
        <v>484</v>
      </c>
      <c r="K21" s="73"/>
    </row>
    <row r="22" customFormat="false" ht="35.05" hidden="false" customHeight="false" outlineLevel="0" collapsed="false">
      <c r="A22" s="69" t="n">
        <v>21</v>
      </c>
      <c r="B22" s="69" t="s">
        <v>477</v>
      </c>
      <c r="C22" s="69" t="s">
        <v>513</v>
      </c>
      <c r="D22" s="69" t="s">
        <v>535</v>
      </c>
      <c r="E22" s="69" t="s">
        <v>536</v>
      </c>
      <c r="F22" s="69" t="s">
        <v>512</v>
      </c>
      <c r="G22" s="69" t="s">
        <v>534</v>
      </c>
      <c r="H22" s="69" t="s">
        <v>131</v>
      </c>
      <c r="I22" s="69" t="s">
        <v>491</v>
      </c>
      <c r="J22" s="69" t="s">
        <v>346</v>
      </c>
      <c r="K22" s="69"/>
    </row>
    <row r="23" customFormat="false" ht="35.05" hidden="false" customHeight="false" outlineLevel="0" collapsed="false">
      <c r="A23" s="73" t="n">
        <v>22</v>
      </c>
      <c r="B23" s="73" t="s">
        <v>477</v>
      </c>
      <c r="C23" s="73" t="s">
        <v>513</v>
      </c>
      <c r="D23" s="73" t="s">
        <v>537</v>
      </c>
      <c r="E23" s="73" t="s">
        <v>538</v>
      </c>
      <c r="F23" s="73" t="s">
        <v>481</v>
      </c>
      <c r="G23" s="73" t="s">
        <v>534</v>
      </c>
      <c r="H23" s="73" t="s">
        <v>129</v>
      </c>
      <c r="I23" s="73" t="s">
        <v>483</v>
      </c>
      <c r="J23" s="73" t="s">
        <v>484</v>
      </c>
      <c r="K23" s="73"/>
    </row>
    <row r="24" customFormat="false" ht="23.85" hidden="false" customHeight="false" outlineLevel="0" collapsed="false">
      <c r="A24" s="69" t="n">
        <v>23</v>
      </c>
      <c r="B24" s="69" t="s">
        <v>477</v>
      </c>
      <c r="C24" s="69" t="s">
        <v>513</v>
      </c>
      <c r="D24" s="69" t="s">
        <v>539</v>
      </c>
      <c r="E24" s="69" t="s">
        <v>540</v>
      </c>
      <c r="F24" s="69" t="s">
        <v>481</v>
      </c>
      <c r="G24" s="69" t="s">
        <v>534</v>
      </c>
      <c r="H24" s="69" t="s">
        <v>129</v>
      </c>
      <c r="I24" s="69" t="s">
        <v>483</v>
      </c>
      <c r="J24" s="69" t="s">
        <v>484</v>
      </c>
      <c r="K24" s="69"/>
    </row>
    <row r="25" customFormat="false" ht="35.05" hidden="false" customHeight="false" outlineLevel="0" collapsed="false">
      <c r="A25" s="73" t="n">
        <v>24</v>
      </c>
      <c r="B25" s="73" t="s">
        <v>477</v>
      </c>
      <c r="C25" s="73" t="s">
        <v>513</v>
      </c>
      <c r="D25" s="73" t="s">
        <v>541</v>
      </c>
      <c r="E25" s="73" t="s">
        <v>542</v>
      </c>
      <c r="F25" s="73" t="s">
        <v>512</v>
      </c>
      <c r="G25" s="73" t="s">
        <v>534</v>
      </c>
      <c r="H25" s="73" t="s">
        <v>129</v>
      </c>
      <c r="I25" s="73" t="s">
        <v>483</v>
      </c>
      <c r="J25" s="73" t="s">
        <v>484</v>
      </c>
      <c r="K25" s="73"/>
    </row>
    <row r="26" customFormat="false" ht="35.05" hidden="false" customHeight="false" outlineLevel="0" collapsed="false">
      <c r="A26" s="69" t="n">
        <v>25</v>
      </c>
      <c r="B26" s="69" t="s">
        <v>477</v>
      </c>
      <c r="C26" s="69" t="s">
        <v>513</v>
      </c>
      <c r="D26" s="69" t="s">
        <v>543</v>
      </c>
      <c r="E26" s="69" t="s">
        <v>544</v>
      </c>
      <c r="F26" s="69" t="s">
        <v>481</v>
      </c>
      <c r="G26" s="69" t="s">
        <v>534</v>
      </c>
      <c r="H26" s="69" t="s">
        <v>129</v>
      </c>
      <c r="I26" s="69" t="s">
        <v>483</v>
      </c>
      <c r="J26" s="69" t="s">
        <v>484</v>
      </c>
      <c r="K26" s="69"/>
    </row>
    <row r="27" customFormat="false" ht="35.05" hidden="false" customHeight="false" outlineLevel="0" collapsed="false">
      <c r="A27" s="73" t="n">
        <v>26</v>
      </c>
      <c r="B27" s="73" t="s">
        <v>477</v>
      </c>
      <c r="C27" s="73" t="s">
        <v>513</v>
      </c>
      <c r="D27" s="73" t="s">
        <v>545</v>
      </c>
      <c r="E27" s="73" t="s">
        <v>546</v>
      </c>
      <c r="F27" s="73" t="s">
        <v>481</v>
      </c>
      <c r="G27" s="73" t="s">
        <v>534</v>
      </c>
      <c r="H27" s="73" t="s">
        <v>129</v>
      </c>
      <c r="I27" s="73" t="s">
        <v>483</v>
      </c>
      <c r="J27" s="73" t="s">
        <v>484</v>
      </c>
      <c r="K27" s="73"/>
    </row>
    <row r="28" customFormat="false" ht="35.05" hidden="false" customHeight="false" outlineLevel="0" collapsed="false">
      <c r="A28" s="69" t="n">
        <v>27</v>
      </c>
      <c r="B28" s="69" t="s">
        <v>477</v>
      </c>
      <c r="C28" s="69" t="s">
        <v>513</v>
      </c>
      <c r="D28" s="69" t="s">
        <v>547</v>
      </c>
      <c r="E28" s="69" t="s">
        <v>548</v>
      </c>
      <c r="F28" s="69" t="s">
        <v>481</v>
      </c>
      <c r="G28" s="69" t="s">
        <v>549</v>
      </c>
      <c r="H28" s="69" t="s">
        <v>132</v>
      </c>
      <c r="I28" s="69" t="s">
        <v>517</v>
      </c>
      <c r="J28" s="69" t="s">
        <v>346</v>
      </c>
      <c r="K28" s="69" t="s">
        <v>550</v>
      </c>
    </row>
    <row r="29" customFormat="false" ht="46.25" hidden="false" customHeight="false" outlineLevel="0" collapsed="false">
      <c r="A29" s="73" t="n">
        <v>28</v>
      </c>
      <c r="B29" s="73" t="s">
        <v>477</v>
      </c>
      <c r="C29" s="73" t="s">
        <v>513</v>
      </c>
      <c r="D29" s="73" t="s">
        <v>551</v>
      </c>
      <c r="E29" s="73" t="s">
        <v>552</v>
      </c>
      <c r="F29" s="73" t="s">
        <v>512</v>
      </c>
      <c r="G29" s="73" t="s">
        <v>549</v>
      </c>
      <c r="H29" s="73" t="s">
        <v>131</v>
      </c>
      <c r="I29" s="73" t="s">
        <v>491</v>
      </c>
      <c r="J29" s="73" t="s">
        <v>346</v>
      </c>
      <c r="K29" s="73" t="s">
        <v>550</v>
      </c>
    </row>
    <row r="30" customFormat="false" ht="35.05" hidden="false" customHeight="false" outlineLevel="0" collapsed="false">
      <c r="A30" s="69" t="n">
        <v>29</v>
      </c>
      <c r="B30" s="69" t="s">
        <v>477</v>
      </c>
      <c r="C30" s="69" t="s">
        <v>513</v>
      </c>
      <c r="D30" s="69" t="s">
        <v>553</v>
      </c>
      <c r="E30" s="69" t="s">
        <v>554</v>
      </c>
      <c r="F30" s="69" t="s">
        <v>481</v>
      </c>
      <c r="G30" s="69" t="s">
        <v>549</v>
      </c>
      <c r="H30" s="69" t="s">
        <v>132</v>
      </c>
      <c r="I30" s="69" t="s">
        <v>517</v>
      </c>
      <c r="J30" s="69" t="s">
        <v>346</v>
      </c>
      <c r="K30" s="69" t="s">
        <v>550</v>
      </c>
    </row>
    <row r="31" customFormat="false" ht="35.05" hidden="false" customHeight="false" outlineLevel="0" collapsed="false">
      <c r="A31" s="73" t="n">
        <v>30</v>
      </c>
      <c r="B31" s="73" t="s">
        <v>477</v>
      </c>
      <c r="C31" s="73" t="s">
        <v>513</v>
      </c>
      <c r="D31" s="73" t="s">
        <v>555</v>
      </c>
      <c r="E31" s="73" t="s">
        <v>556</v>
      </c>
      <c r="F31" s="73" t="s">
        <v>481</v>
      </c>
      <c r="G31" s="73" t="s">
        <v>549</v>
      </c>
      <c r="H31" s="73" t="s">
        <v>131</v>
      </c>
      <c r="I31" s="73" t="s">
        <v>491</v>
      </c>
      <c r="J31" s="73" t="s">
        <v>346</v>
      </c>
      <c r="K31" s="73"/>
    </row>
    <row r="32" customFormat="false" ht="23.85" hidden="false" customHeight="false" outlineLevel="0" collapsed="false">
      <c r="A32" s="69" t="n">
        <v>31</v>
      </c>
      <c r="B32" s="69" t="s">
        <v>477</v>
      </c>
      <c r="C32" s="69" t="s">
        <v>513</v>
      </c>
      <c r="D32" s="69" t="s">
        <v>557</v>
      </c>
      <c r="E32" s="69" t="s">
        <v>558</v>
      </c>
      <c r="F32" s="69" t="s">
        <v>481</v>
      </c>
      <c r="G32" s="69" t="s">
        <v>559</v>
      </c>
      <c r="H32" s="69" t="s">
        <v>129</v>
      </c>
      <c r="I32" s="69" t="s">
        <v>483</v>
      </c>
      <c r="J32" s="69" t="s">
        <v>484</v>
      </c>
      <c r="K32" s="69"/>
    </row>
    <row r="33" customFormat="false" ht="35.05" hidden="false" customHeight="false" outlineLevel="0" collapsed="false">
      <c r="A33" s="73" t="n">
        <v>32</v>
      </c>
      <c r="B33" s="73" t="s">
        <v>477</v>
      </c>
      <c r="C33" s="73" t="s">
        <v>513</v>
      </c>
      <c r="D33" s="73" t="s">
        <v>560</v>
      </c>
      <c r="E33" s="73" t="s">
        <v>561</v>
      </c>
      <c r="F33" s="73" t="s">
        <v>481</v>
      </c>
      <c r="G33" s="73" t="s">
        <v>562</v>
      </c>
      <c r="H33" s="73" t="s">
        <v>132</v>
      </c>
      <c r="I33" s="73" t="s">
        <v>517</v>
      </c>
      <c r="J33" s="73" t="s">
        <v>346</v>
      </c>
      <c r="K33" s="73" t="s">
        <v>518</v>
      </c>
    </row>
    <row r="34" customFormat="false" ht="23.85" hidden="false" customHeight="false" outlineLevel="0" collapsed="false">
      <c r="A34" s="69" t="n">
        <v>33</v>
      </c>
      <c r="B34" s="69" t="s">
        <v>563</v>
      </c>
      <c r="C34" s="69" t="s">
        <v>563</v>
      </c>
      <c r="D34" s="69" t="s">
        <v>564</v>
      </c>
      <c r="E34" s="69" t="s">
        <v>565</v>
      </c>
      <c r="F34" s="69" t="s">
        <v>481</v>
      </c>
      <c r="G34" s="69" t="s">
        <v>566</v>
      </c>
      <c r="H34" s="69" t="s">
        <v>129</v>
      </c>
      <c r="I34" s="69" t="s">
        <v>483</v>
      </c>
      <c r="J34" s="69" t="s">
        <v>484</v>
      </c>
      <c r="K34" s="69"/>
    </row>
    <row r="35" customFormat="false" ht="35.05" hidden="false" customHeight="false" outlineLevel="0" collapsed="false">
      <c r="A35" s="73" t="n">
        <v>34</v>
      </c>
      <c r="B35" s="73" t="s">
        <v>563</v>
      </c>
      <c r="C35" s="73" t="s">
        <v>563</v>
      </c>
      <c r="D35" s="73" t="s">
        <v>567</v>
      </c>
      <c r="E35" s="73" t="s">
        <v>568</v>
      </c>
      <c r="F35" s="73" t="s">
        <v>481</v>
      </c>
      <c r="G35" s="73" t="s">
        <v>566</v>
      </c>
      <c r="H35" s="73" t="s">
        <v>129</v>
      </c>
      <c r="I35" s="73" t="s">
        <v>483</v>
      </c>
      <c r="J35" s="73" t="s">
        <v>484</v>
      </c>
      <c r="K35" s="73"/>
    </row>
    <row r="36" customFormat="false" ht="35.05" hidden="false" customHeight="false" outlineLevel="0" collapsed="false">
      <c r="A36" s="69" t="n">
        <v>35</v>
      </c>
      <c r="B36" s="69" t="s">
        <v>477</v>
      </c>
      <c r="C36" s="69" t="s">
        <v>478</v>
      </c>
      <c r="D36" s="69" t="s">
        <v>569</v>
      </c>
      <c r="E36" s="69" t="s">
        <v>570</v>
      </c>
      <c r="F36" s="69" t="s">
        <v>61</v>
      </c>
      <c r="G36" s="69" t="s">
        <v>571</v>
      </c>
      <c r="H36" s="69" t="s">
        <v>129</v>
      </c>
      <c r="I36" s="69" t="s">
        <v>483</v>
      </c>
      <c r="J36" s="69" t="s">
        <v>484</v>
      </c>
      <c r="K36" s="69"/>
    </row>
    <row r="37" customFormat="false" ht="35.05" hidden="false" customHeight="false" outlineLevel="0" collapsed="false">
      <c r="A37" s="73" t="n">
        <v>36</v>
      </c>
      <c r="B37" s="73" t="s">
        <v>477</v>
      </c>
      <c r="C37" s="73" t="s">
        <v>478</v>
      </c>
      <c r="D37" s="73" t="s">
        <v>572</v>
      </c>
      <c r="E37" s="73" t="s">
        <v>573</v>
      </c>
      <c r="F37" s="73" t="s">
        <v>61</v>
      </c>
      <c r="G37" s="73" t="s">
        <v>574</v>
      </c>
      <c r="H37" s="73" t="s">
        <v>129</v>
      </c>
      <c r="I37" s="73" t="s">
        <v>483</v>
      </c>
      <c r="J37" s="73" t="s">
        <v>484</v>
      </c>
      <c r="K37" s="73"/>
    </row>
    <row r="38" customFormat="false" ht="35.05" hidden="false" customHeight="false" outlineLevel="0" collapsed="false">
      <c r="A38" s="69" t="n">
        <v>37</v>
      </c>
      <c r="B38" s="69" t="s">
        <v>477</v>
      </c>
      <c r="C38" s="69" t="s">
        <v>478</v>
      </c>
      <c r="D38" s="69" t="s">
        <v>575</v>
      </c>
      <c r="E38" s="69" t="s">
        <v>576</v>
      </c>
      <c r="F38" s="69" t="s">
        <v>61</v>
      </c>
      <c r="G38" s="69" t="s">
        <v>574</v>
      </c>
      <c r="H38" s="69" t="s">
        <v>129</v>
      </c>
      <c r="I38" s="69" t="s">
        <v>483</v>
      </c>
      <c r="J38" s="69" t="s">
        <v>484</v>
      </c>
      <c r="K38" s="69"/>
    </row>
    <row r="39" customFormat="false" ht="23.85" hidden="false" customHeight="false" outlineLevel="0" collapsed="false">
      <c r="A39" s="73" t="n">
        <v>38</v>
      </c>
      <c r="B39" s="73" t="s">
        <v>477</v>
      </c>
      <c r="C39" s="73" t="s">
        <v>478</v>
      </c>
      <c r="D39" s="73" t="s">
        <v>577</v>
      </c>
      <c r="E39" s="73" t="s">
        <v>578</v>
      </c>
      <c r="F39" s="73" t="s">
        <v>61</v>
      </c>
      <c r="G39" s="73" t="s">
        <v>574</v>
      </c>
      <c r="H39" s="73" t="s">
        <v>129</v>
      </c>
      <c r="I39" s="73" t="s">
        <v>483</v>
      </c>
      <c r="J39" s="73" t="s">
        <v>484</v>
      </c>
      <c r="K39" s="73"/>
    </row>
    <row r="40" customFormat="false" ht="23.85" hidden="false" customHeight="false" outlineLevel="0" collapsed="false">
      <c r="A40" s="69" t="n">
        <v>39</v>
      </c>
      <c r="B40" s="69" t="s">
        <v>477</v>
      </c>
      <c r="C40" s="69" t="s">
        <v>478</v>
      </c>
      <c r="D40" s="69" t="s">
        <v>579</v>
      </c>
      <c r="E40" s="69" t="s">
        <v>580</v>
      </c>
      <c r="F40" s="69" t="s">
        <v>61</v>
      </c>
      <c r="G40" s="69" t="s">
        <v>574</v>
      </c>
      <c r="H40" s="69" t="s">
        <v>129</v>
      </c>
      <c r="I40" s="69" t="s">
        <v>483</v>
      </c>
      <c r="J40" s="69" t="s">
        <v>484</v>
      </c>
      <c r="K40" s="69"/>
    </row>
    <row r="41" customFormat="false" ht="23.85" hidden="false" customHeight="false" outlineLevel="0" collapsed="false">
      <c r="A41" s="73" t="n">
        <v>40</v>
      </c>
      <c r="B41" s="73" t="s">
        <v>477</v>
      </c>
      <c r="C41" s="73" t="s">
        <v>478</v>
      </c>
      <c r="D41" s="73" t="s">
        <v>581</v>
      </c>
      <c r="E41" s="73" t="s">
        <v>582</v>
      </c>
      <c r="F41" s="73" t="s">
        <v>61</v>
      </c>
      <c r="G41" s="73" t="s">
        <v>574</v>
      </c>
      <c r="H41" s="73" t="s">
        <v>129</v>
      </c>
      <c r="I41" s="73" t="s">
        <v>483</v>
      </c>
      <c r="J41" s="73" t="s">
        <v>484</v>
      </c>
      <c r="K41" s="73"/>
    </row>
    <row r="42" customFormat="false" ht="35.05" hidden="false" customHeight="false" outlineLevel="0" collapsed="false">
      <c r="A42" s="69" t="n">
        <v>41</v>
      </c>
      <c r="B42" s="69" t="s">
        <v>477</v>
      </c>
      <c r="C42" s="69" t="s">
        <v>478</v>
      </c>
      <c r="D42" s="69" t="s">
        <v>583</v>
      </c>
      <c r="E42" s="69" t="s">
        <v>584</v>
      </c>
      <c r="F42" s="69" t="s">
        <v>61</v>
      </c>
      <c r="G42" s="69" t="s">
        <v>574</v>
      </c>
      <c r="H42" s="69" t="s">
        <v>129</v>
      </c>
      <c r="I42" s="69" t="s">
        <v>483</v>
      </c>
      <c r="J42" s="69" t="s">
        <v>484</v>
      </c>
      <c r="K42" s="69"/>
    </row>
    <row r="43" customFormat="false" ht="35.05" hidden="false" customHeight="false" outlineLevel="0" collapsed="false">
      <c r="A43" s="73" t="n">
        <v>42</v>
      </c>
      <c r="B43" s="73" t="s">
        <v>477</v>
      </c>
      <c r="C43" s="73" t="s">
        <v>478</v>
      </c>
      <c r="D43" s="73" t="s">
        <v>585</v>
      </c>
      <c r="E43" s="73" t="s">
        <v>586</v>
      </c>
      <c r="F43" s="73" t="s">
        <v>61</v>
      </c>
      <c r="G43" s="73" t="s">
        <v>574</v>
      </c>
      <c r="H43" s="73" t="s">
        <v>129</v>
      </c>
      <c r="I43" s="73" t="s">
        <v>483</v>
      </c>
      <c r="J43" s="73" t="s">
        <v>484</v>
      </c>
      <c r="K43" s="73"/>
    </row>
    <row r="44" customFormat="false" ht="23.85" hidden="false" customHeight="false" outlineLevel="0" collapsed="false">
      <c r="A44" s="69" t="n">
        <v>43</v>
      </c>
      <c r="B44" s="69" t="s">
        <v>477</v>
      </c>
      <c r="C44" s="69" t="s">
        <v>478</v>
      </c>
      <c r="D44" s="69" t="s">
        <v>587</v>
      </c>
      <c r="E44" s="69" t="s">
        <v>588</v>
      </c>
      <c r="F44" s="69" t="s">
        <v>61</v>
      </c>
      <c r="G44" s="69" t="s">
        <v>589</v>
      </c>
      <c r="H44" s="69" t="s">
        <v>131</v>
      </c>
      <c r="I44" s="69" t="s">
        <v>317</v>
      </c>
      <c r="J44" s="69" t="s">
        <v>346</v>
      </c>
      <c r="K44" s="69" t="s">
        <v>590</v>
      </c>
    </row>
    <row r="45" customFormat="false" ht="35.05" hidden="false" customHeight="false" outlineLevel="0" collapsed="false">
      <c r="A45" s="73" t="n">
        <v>44</v>
      </c>
      <c r="B45" s="73" t="s">
        <v>477</v>
      </c>
      <c r="C45" s="73" t="s">
        <v>478</v>
      </c>
      <c r="D45" s="73" t="s">
        <v>591</v>
      </c>
      <c r="E45" s="73" t="s">
        <v>592</v>
      </c>
      <c r="F45" s="73" t="s">
        <v>61</v>
      </c>
      <c r="G45" s="73" t="s">
        <v>589</v>
      </c>
      <c r="H45" s="73" t="s">
        <v>129</v>
      </c>
      <c r="I45" s="73" t="s">
        <v>483</v>
      </c>
      <c r="J45" s="73" t="s">
        <v>484</v>
      </c>
      <c r="K45" s="73"/>
    </row>
    <row r="46" customFormat="false" ht="46.25" hidden="false" customHeight="false" outlineLevel="0" collapsed="false">
      <c r="A46" s="69" t="n">
        <v>45</v>
      </c>
      <c r="B46" s="69" t="s">
        <v>477</v>
      </c>
      <c r="C46" s="69" t="s">
        <v>478</v>
      </c>
      <c r="D46" s="69" t="s">
        <v>593</v>
      </c>
      <c r="E46" s="69" t="s">
        <v>594</v>
      </c>
      <c r="F46" s="69" t="s">
        <v>61</v>
      </c>
      <c r="G46" s="69" t="s">
        <v>595</v>
      </c>
      <c r="H46" s="69" t="s">
        <v>131</v>
      </c>
      <c r="I46" s="69" t="s">
        <v>317</v>
      </c>
      <c r="J46" s="69" t="s">
        <v>346</v>
      </c>
      <c r="K46" s="69" t="s">
        <v>590</v>
      </c>
    </row>
    <row r="47" customFormat="false" ht="23.85" hidden="false" customHeight="false" outlineLevel="0" collapsed="false">
      <c r="A47" s="73" t="n">
        <v>46</v>
      </c>
      <c r="B47" s="73" t="s">
        <v>477</v>
      </c>
      <c r="C47" s="73" t="s">
        <v>478</v>
      </c>
      <c r="D47" s="73" t="s">
        <v>596</v>
      </c>
      <c r="E47" s="73" t="s">
        <v>597</v>
      </c>
      <c r="F47" s="73" t="s">
        <v>61</v>
      </c>
      <c r="G47" s="73" t="s">
        <v>595</v>
      </c>
      <c r="H47" s="73" t="s">
        <v>129</v>
      </c>
      <c r="I47" s="73" t="s">
        <v>483</v>
      </c>
      <c r="J47" s="73" t="s">
        <v>484</v>
      </c>
      <c r="K47" s="73"/>
    </row>
    <row r="48" customFormat="false" ht="46.25" hidden="false" customHeight="false" outlineLevel="0" collapsed="false">
      <c r="A48" s="69" t="n">
        <v>47</v>
      </c>
      <c r="B48" s="69" t="s">
        <v>477</v>
      </c>
      <c r="C48" s="69" t="s">
        <v>598</v>
      </c>
      <c r="D48" s="69" t="s">
        <v>599</v>
      </c>
      <c r="E48" s="69" t="s">
        <v>600</v>
      </c>
      <c r="F48" s="69" t="s">
        <v>61</v>
      </c>
      <c r="G48" s="69" t="s">
        <v>601</v>
      </c>
      <c r="H48" s="69" t="s">
        <v>129</v>
      </c>
      <c r="I48" s="69" t="s">
        <v>483</v>
      </c>
      <c r="J48" s="69" t="s">
        <v>484</v>
      </c>
      <c r="K48" s="69"/>
    </row>
    <row r="49" customFormat="false" ht="35.05" hidden="false" customHeight="false" outlineLevel="0" collapsed="false">
      <c r="A49" s="73" t="n">
        <v>48</v>
      </c>
      <c r="B49" s="73" t="s">
        <v>477</v>
      </c>
      <c r="C49" s="73" t="s">
        <v>598</v>
      </c>
      <c r="D49" s="73" t="s">
        <v>602</v>
      </c>
      <c r="E49" s="73" t="s">
        <v>603</v>
      </c>
      <c r="F49" s="73" t="s">
        <v>61</v>
      </c>
      <c r="G49" s="73" t="s">
        <v>601</v>
      </c>
      <c r="H49" s="73" t="s">
        <v>129</v>
      </c>
      <c r="I49" s="73" t="s">
        <v>483</v>
      </c>
      <c r="J49" s="73" t="s">
        <v>484</v>
      </c>
      <c r="K49" s="73"/>
    </row>
    <row r="50" customFormat="false" ht="35.05" hidden="false" customHeight="false" outlineLevel="0" collapsed="false">
      <c r="A50" s="69" t="n">
        <v>49</v>
      </c>
      <c r="B50" s="69" t="s">
        <v>477</v>
      </c>
      <c r="C50" s="69" t="s">
        <v>598</v>
      </c>
      <c r="D50" s="69" t="s">
        <v>604</v>
      </c>
      <c r="E50" s="69" t="s">
        <v>605</v>
      </c>
      <c r="F50" s="69" t="s">
        <v>61</v>
      </c>
      <c r="G50" s="69" t="s">
        <v>601</v>
      </c>
      <c r="H50" s="69" t="s">
        <v>129</v>
      </c>
      <c r="I50" s="69" t="s">
        <v>483</v>
      </c>
      <c r="J50" s="69" t="s">
        <v>484</v>
      </c>
      <c r="K50" s="69"/>
    </row>
    <row r="51" customFormat="false" ht="35.05" hidden="false" customHeight="false" outlineLevel="0" collapsed="false">
      <c r="A51" s="73" t="n">
        <v>50</v>
      </c>
      <c r="B51" s="73" t="s">
        <v>477</v>
      </c>
      <c r="C51" s="73" t="s">
        <v>598</v>
      </c>
      <c r="D51" s="73" t="s">
        <v>606</v>
      </c>
      <c r="E51" s="73" t="s">
        <v>607</v>
      </c>
      <c r="F51" s="73" t="s">
        <v>61</v>
      </c>
      <c r="G51" s="73" t="s">
        <v>601</v>
      </c>
      <c r="H51" s="73" t="s">
        <v>129</v>
      </c>
      <c r="I51" s="73" t="s">
        <v>483</v>
      </c>
      <c r="J51" s="73" t="s">
        <v>484</v>
      </c>
      <c r="K51" s="73"/>
    </row>
    <row r="52" customFormat="false" ht="35.05" hidden="false" customHeight="false" outlineLevel="0" collapsed="false">
      <c r="A52" s="69" t="n">
        <v>51</v>
      </c>
      <c r="B52" s="69" t="s">
        <v>477</v>
      </c>
      <c r="C52" s="69" t="s">
        <v>598</v>
      </c>
      <c r="D52" s="69" t="s">
        <v>608</v>
      </c>
      <c r="E52" s="69" t="s">
        <v>609</v>
      </c>
      <c r="F52" s="69" t="s">
        <v>61</v>
      </c>
      <c r="G52" s="69" t="s">
        <v>601</v>
      </c>
      <c r="H52" s="69" t="s">
        <v>129</v>
      </c>
      <c r="I52" s="69" t="s">
        <v>483</v>
      </c>
      <c r="J52" s="69" t="s">
        <v>484</v>
      </c>
      <c r="K52" s="69"/>
    </row>
    <row r="53" customFormat="false" ht="35.05" hidden="false" customHeight="false" outlineLevel="0" collapsed="false">
      <c r="A53" s="73" t="n">
        <v>52</v>
      </c>
      <c r="B53" s="73" t="s">
        <v>513</v>
      </c>
      <c r="C53" s="73" t="s">
        <v>513</v>
      </c>
      <c r="D53" s="73" t="s">
        <v>610</v>
      </c>
      <c r="E53" s="73" t="s">
        <v>611</v>
      </c>
      <c r="F53" s="73" t="s">
        <v>61</v>
      </c>
      <c r="G53" s="73" t="s">
        <v>612</v>
      </c>
      <c r="H53" s="73" t="s">
        <v>129</v>
      </c>
      <c r="I53" s="73" t="s">
        <v>483</v>
      </c>
      <c r="J53" s="73" t="s">
        <v>484</v>
      </c>
      <c r="K53" s="73"/>
    </row>
    <row r="54" customFormat="false" ht="46.25" hidden="false" customHeight="false" outlineLevel="0" collapsed="false">
      <c r="A54" s="69" t="n">
        <v>53</v>
      </c>
      <c r="B54" s="69" t="s">
        <v>513</v>
      </c>
      <c r="C54" s="69" t="s">
        <v>513</v>
      </c>
      <c r="D54" s="69" t="s">
        <v>613</v>
      </c>
      <c r="E54" s="69" t="s">
        <v>614</v>
      </c>
      <c r="F54" s="69" t="s">
        <v>61</v>
      </c>
      <c r="G54" s="69" t="s">
        <v>612</v>
      </c>
      <c r="H54" s="69" t="s">
        <v>129</v>
      </c>
      <c r="I54" s="69" t="s">
        <v>483</v>
      </c>
      <c r="J54" s="69" t="s">
        <v>484</v>
      </c>
      <c r="K54" s="69"/>
    </row>
    <row r="55" customFormat="false" ht="35.05" hidden="false" customHeight="false" outlineLevel="0" collapsed="false">
      <c r="A55" s="73" t="n">
        <v>54</v>
      </c>
      <c r="B55" s="73" t="s">
        <v>513</v>
      </c>
      <c r="C55" s="73" t="s">
        <v>513</v>
      </c>
      <c r="D55" s="73" t="s">
        <v>615</v>
      </c>
      <c r="E55" s="73" t="s">
        <v>616</v>
      </c>
      <c r="F55" s="73" t="s">
        <v>61</v>
      </c>
      <c r="G55" s="73" t="s">
        <v>612</v>
      </c>
      <c r="H55" s="73" t="s">
        <v>132</v>
      </c>
      <c r="I55" s="73" t="s">
        <v>517</v>
      </c>
      <c r="J55" s="73" t="s">
        <v>346</v>
      </c>
      <c r="K55" s="73" t="s">
        <v>518</v>
      </c>
    </row>
    <row r="56" customFormat="false" ht="35.05" hidden="false" customHeight="false" outlineLevel="0" collapsed="false">
      <c r="A56" s="69" t="n">
        <v>55</v>
      </c>
      <c r="B56" s="69" t="s">
        <v>513</v>
      </c>
      <c r="C56" s="69" t="s">
        <v>513</v>
      </c>
      <c r="D56" s="69" t="s">
        <v>617</v>
      </c>
      <c r="E56" s="69" t="s">
        <v>618</v>
      </c>
      <c r="F56" s="69" t="s">
        <v>61</v>
      </c>
      <c r="G56" s="69" t="s">
        <v>612</v>
      </c>
      <c r="H56" s="69" t="s">
        <v>129</v>
      </c>
      <c r="I56" s="69" t="s">
        <v>483</v>
      </c>
      <c r="J56" s="69" t="s">
        <v>484</v>
      </c>
      <c r="K56" s="69"/>
    </row>
    <row r="57" customFormat="false" ht="35.05" hidden="false" customHeight="false" outlineLevel="0" collapsed="false">
      <c r="A57" s="73" t="n">
        <v>56</v>
      </c>
      <c r="B57" s="73" t="s">
        <v>513</v>
      </c>
      <c r="C57" s="73" t="s">
        <v>513</v>
      </c>
      <c r="D57" s="73" t="s">
        <v>619</v>
      </c>
      <c r="E57" s="73" t="s">
        <v>620</v>
      </c>
      <c r="F57" s="73" t="s">
        <v>61</v>
      </c>
      <c r="G57" s="73" t="s">
        <v>612</v>
      </c>
      <c r="H57" s="73" t="s">
        <v>129</v>
      </c>
      <c r="I57" s="73" t="s">
        <v>483</v>
      </c>
      <c r="J57" s="73" t="s">
        <v>484</v>
      </c>
      <c r="K57" s="73"/>
    </row>
    <row r="58" customFormat="false" ht="35.05" hidden="false" customHeight="false" outlineLevel="0" collapsed="false">
      <c r="A58" s="69" t="n">
        <v>57</v>
      </c>
      <c r="B58" s="69" t="s">
        <v>513</v>
      </c>
      <c r="C58" s="69" t="s">
        <v>513</v>
      </c>
      <c r="D58" s="69" t="s">
        <v>621</v>
      </c>
      <c r="E58" s="69" t="s">
        <v>622</v>
      </c>
      <c r="F58" s="69" t="s">
        <v>61</v>
      </c>
      <c r="G58" s="69" t="s">
        <v>623</v>
      </c>
      <c r="H58" s="69" t="s">
        <v>132</v>
      </c>
      <c r="I58" s="69" t="s">
        <v>517</v>
      </c>
      <c r="J58" s="69" t="s">
        <v>346</v>
      </c>
      <c r="K58" s="69" t="s">
        <v>518</v>
      </c>
    </row>
    <row r="59" customFormat="false" ht="23.85" hidden="false" customHeight="false" outlineLevel="0" collapsed="false">
      <c r="A59" s="73" t="n">
        <v>58</v>
      </c>
      <c r="B59" s="73" t="s">
        <v>513</v>
      </c>
      <c r="C59" s="73" t="s">
        <v>513</v>
      </c>
      <c r="D59" s="73" t="s">
        <v>624</v>
      </c>
      <c r="E59" s="73" t="s">
        <v>625</v>
      </c>
      <c r="F59" s="73" t="s">
        <v>61</v>
      </c>
      <c r="G59" s="73" t="s">
        <v>623</v>
      </c>
      <c r="H59" s="73" t="s">
        <v>129</v>
      </c>
      <c r="I59" s="73" t="s">
        <v>483</v>
      </c>
      <c r="J59" s="73" t="s">
        <v>484</v>
      </c>
      <c r="K59" s="73"/>
    </row>
    <row r="60" customFormat="false" ht="35.05" hidden="false" customHeight="false" outlineLevel="0" collapsed="false">
      <c r="A60" s="69" t="n">
        <v>59</v>
      </c>
      <c r="B60" s="69" t="s">
        <v>513</v>
      </c>
      <c r="C60" s="69" t="s">
        <v>513</v>
      </c>
      <c r="D60" s="69" t="s">
        <v>626</v>
      </c>
      <c r="E60" s="69" t="s">
        <v>627</v>
      </c>
      <c r="F60" s="69" t="s">
        <v>61</v>
      </c>
      <c r="G60" s="69" t="s">
        <v>623</v>
      </c>
      <c r="H60" s="69" t="s">
        <v>132</v>
      </c>
      <c r="I60" s="69" t="s">
        <v>517</v>
      </c>
      <c r="J60" s="69" t="s">
        <v>346</v>
      </c>
      <c r="K60" s="69" t="s">
        <v>518</v>
      </c>
    </row>
    <row r="61" customFormat="false" ht="35.05" hidden="false" customHeight="false" outlineLevel="0" collapsed="false">
      <c r="A61" s="73" t="n">
        <v>60</v>
      </c>
      <c r="B61" s="73" t="s">
        <v>513</v>
      </c>
      <c r="C61" s="73" t="s">
        <v>513</v>
      </c>
      <c r="D61" s="73" t="s">
        <v>628</v>
      </c>
      <c r="E61" s="73" t="s">
        <v>629</v>
      </c>
      <c r="F61" s="73" t="s">
        <v>61</v>
      </c>
      <c r="G61" s="73" t="s">
        <v>623</v>
      </c>
      <c r="H61" s="73" t="s">
        <v>129</v>
      </c>
      <c r="I61" s="73" t="s">
        <v>483</v>
      </c>
      <c r="J61" s="73" t="s">
        <v>484</v>
      </c>
      <c r="K61" s="73"/>
    </row>
    <row r="62" customFormat="false" ht="23.85" hidden="false" customHeight="false" outlineLevel="0" collapsed="false">
      <c r="A62" s="69" t="n">
        <v>61</v>
      </c>
      <c r="B62" s="69" t="s">
        <v>513</v>
      </c>
      <c r="C62" s="69" t="s">
        <v>513</v>
      </c>
      <c r="D62" s="69" t="s">
        <v>630</v>
      </c>
      <c r="E62" s="69" t="s">
        <v>631</v>
      </c>
      <c r="F62" s="69" t="s">
        <v>61</v>
      </c>
      <c r="G62" s="69" t="s">
        <v>623</v>
      </c>
      <c r="H62" s="69" t="s">
        <v>129</v>
      </c>
      <c r="I62" s="69" t="s">
        <v>483</v>
      </c>
      <c r="J62" s="69" t="s">
        <v>484</v>
      </c>
      <c r="K62" s="69"/>
    </row>
    <row r="63" customFormat="false" ht="23.85" hidden="false" customHeight="false" outlineLevel="0" collapsed="false">
      <c r="A63" s="73" t="n">
        <v>62</v>
      </c>
      <c r="B63" s="73" t="s">
        <v>632</v>
      </c>
      <c r="C63" s="73" t="s">
        <v>632</v>
      </c>
      <c r="D63" s="73" t="s">
        <v>633</v>
      </c>
      <c r="E63" s="73" t="s">
        <v>634</v>
      </c>
      <c r="F63" s="73" t="s">
        <v>61</v>
      </c>
      <c r="G63" s="73" t="s">
        <v>635</v>
      </c>
      <c r="H63" s="73" t="s">
        <v>129</v>
      </c>
      <c r="I63" s="73" t="s">
        <v>483</v>
      </c>
      <c r="J63" s="73" t="s">
        <v>484</v>
      </c>
      <c r="K63" s="73"/>
    </row>
    <row r="64" customFormat="false" ht="23.85" hidden="false" customHeight="false" outlineLevel="0" collapsed="false">
      <c r="A64" s="69" t="n">
        <v>63</v>
      </c>
      <c r="B64" s="69" t="s">
        <v>632</v>
      </c>
      <c r="C64" s="69" t="s">
        <v>632</v>
      </c>
      <c r="D64" s="69" t="s">
        <v>636</v>
      </c>
      <c r="E64" s="69" t="s">
        <v>637</v>
      </c>
      <c r="F64" s="69" t="s">
        <v>61</v>
      </c>
      <c r="G64" s="69" t="s">
        <v>635</v>
      </c>
      <c r="H64" s="69" t="s">
        <v>129</v>
      </c>
      <c r="I64" s="69" t="s">
        <v>483</v>
      </c>
      <c r="J64" s="69" t="s">
        <v>484</v>
      </c>
      <c r="K64" s="69"/>
    </row>
    <row r="65" customFormat="false" ht="15" hidden="false" customHeight="false" outlineLevel="0" collapsed="false">
      <c r="A65" s="73" t="n">
        <v>64</v>
      </c>
      <c r="B65" s="73" t="s">
        <v>632</v>
      </c>
      <c r="C65" s="73" t="s">
        <v>632</v>
      </c>
      <c r="D65" s="73" t="s">
        <v>638</v>
      </c>
      <c r="E65" s="73" t="s">
        <v>639</v>
      </c>
      <c r="F65" s="73" t="s">
        <v>61</v>
      </c>
      <c r="G65" s="73" t="s">
        <v>635</v>
      </c>
      <c r="H65" s="73" t="s">
        <v>129</v>
      </c>
      <c r="I65" s="73" t="s">
        <v>483</v>
      </c>
      <c r="J65" s="73" t="s">
        <v>484</v>
      </c>
      <c r="K65" s="73"/>
    </row>
    <row r="66" customFormat="false" ht="23.85" hidden="false" customHeight="false" outlineLevel="0" collapsed="false">
      <c r="A66" s="69" t="n">
        <v>65</v>
      </c>
      <c r="B66" s="69" t="s">
        <v>632</v>
      </c>
      <c r="C66" s="69" t="s">
        <v>632</v>
      </c>
      <c r="D66" s="69" t="s">
        <v>640</v>
      </c>
      <c r="E66" s="69" t="s">
        <v>641</v>
      </c>
      <c r="F66" s="69" t="s">
        <v>61</v>
      </c>
      <c r="G66" s="69" t="s">
        <v>635</v>
      </c>
      <c r="H66" s="69" t="s">
        <v>129</v>
      </c>
      <c r="I66" s="69" t="s">
        <v>483</v>
      </c>
      <c r="J66" s="69" t="s">
        <v>484</v>
      </c>
      <c r="K66" s="69"/>
    </row>
    <row r="67" customFormat="false" ht="15" hidden="false" customHeight="false" outlineLevel="0" collapsed="false">
      <c r="A67" s="73" t="n">
        <v>66</v>
      </c>
      <c r="B67" s="73" t="s">
        <v>632</v>
      </c>
      <c r="C67" s="73" t="s">
        <v>632</v>
      </c>
      <c r="D67" s="73" t="s">
        <v>642</v>
      </c>
      <c r="E67" s="73" t="s">
        <v>643</v>
      </c>
      <c r="F67" s="73" t="s">
        <v>61</v>
      </c>
      <c r="G67" s="73" t="s">
        <v>635</v>
      </c>
      <c r="H67" s="73" t="s">
        <v>129</v>
      </c>
      <c r="I67" s="73" t="s">
        <v>483</v>
      </c>
      <c r="J67" s="73" t="s">
        <v>484</v>
      </c>
      <c r="K67" s="73"/>
    </row>
    <row r="68" customFormat="false" ht="23.85" hidden="false" customHeight="false" outlineLevel="0" collapsed="false">
      <c r="A68" s="69" t="n">
        <v>67</v>
      </c>
      <c r="B68" s="69" t="s">
        <v>632</v>
      </c>
      <c r="C68" s="69" t="s">
        <v>632</v>
      </c>
      <c r="D68" s="69" t="s">
        <v>644</v>
      </c>
      <c r="E68" s="69" t="s">
        <v>645</v>
      </c>
      <c r="F68" s="69" t="s">
        <v>61</v>
      </c>
      <c r="G68" s="69" t="s">
        <v>635</v>
      </c>
      <c r="H68" s="69" t="s">
        <v>129</v>
      </c>
      <c r="I68" s="69" t="s">
        <v>483</v>
      </c>
      <c r="J68" s="69" t="s">
        <v>484</v>
      </c>
      <c r="K68" s="69"/>
    </row>
    <row r="69" customFormat="false" ht="23.85" hidden="false" customHeight="false" outlineLevel="0" collapsed="false">
      <c r="A69" s="73" t="n">
        <v>68</v>
      </c>
      <c r="B69" s="73" t="s">
        <v>632</v>
      </c>
      <c r="C69" s="73" t="s">
        <v>632</v>
      </c>
      <c r="D69" s="73" t="s">
        <v>646</v>
      </c>
      <c r="E69" s="73" t="s">
        <v>647</v>
      </c>
      <c r="F69" s="73" t="s">
        <v>61</v>
      </c>
      <c r="G69" s="73" t="s">
        <v>635</v>
      </c>
      <c r="H69" s="73" t="s">
        <v>129</v>
      </c>
      <c r="I69" s="73" t="s">
        <v>483</v>
      </c>
      <c r="J69" s="73" t="s">
        <v>484</v>
      </c>
      <c r="K69" s="73"/>
    </row>
    <row r="70" customFormat="false" ht="23.85" hidden="false" customHeight="false" outlineLevel="0" collapsed="false">
      <c r="A70" s="69" t="n">
        <v>69</v>
      </c>
      <c r="B70" s="69" t="s">
        <v>632</v>
      </c>
      <c r="C70" s="69" t="s">
        <v>632</v>
      </c>
      <c r="D70" s="69" t="s">
        <v>648</v>
      </c>
      <c r="E70" s="69" t="s">
        <v>649</v>
      </c>
      <c r="F70" s="69" t="s">
        <v>61</v>
      </c>
      <c r="G70" s="69" t="s">
        <v>635</v>
      </c>
      <c r="H70" s="69" t="s">
        <v>129</v>
      </c>
      <c r="I70" s="69" t="s">
        <v>483</v>
      </c>
      <c r="J70" s="69" t="s">
        <v>484</v>
      </c>
      <c r="K70" s="69"/>
    </row>
    <row r="71" customFormat="false" ht="35.05" hidden="false" customHeight="false" outlineLevel="0" collapsed="false">
      <c r="A71" s="73" t="n">
        <v>70</v>
      </c>
      <c r="B71" s="73" t="s">
        <v>478</v>
      </c>
      <c r="C71" s="73" t="s">
        <v>478</v>
      </c>
      <c r="D71" s="73" t="s">
        <v>650</v>
      </c>
      <c r="E71" s="73" t="s">
        <v>651</v>
      </c>
      <c r="F71" s="73" t="s">
        <v>652</v>
      </c>
      <c r="G71" s="73" t="s">
        <v>653</v>
      </c>
      <c r="H71" s="73" t="s">
        <v>129</v>
      </c>
      <c r="I71" s="73" t="s">
        <v>483</v>
      </c>
      <c r="J71" s="73" t="s">
        <v>484</v>
      </c>
      <c r="K71" s="73"/>
    </row>
    <row r="72" customFormat="false" ht="35.05" hidden="false" customHeight="false" outlineLevel="0" collapsed="false">
      <c r="A72" s="69" t="n">
        <v>71</v>
      </c>
      <c r="B72" s="69" t="s">
        <v>654</v>
      </c>
      <c r="C72" s="69" t="s">
        <v>654</v>
      </c>
      <c r="D72" s="69" t="s">
        <v>655</v>
      </c>
      <c r="E72" s="69" t="s">
        <v>656</v>
      </c>
      <c r="F72" s="69" t="s">
        <v>657</v>
      </c>
      <c r="G72" s="69" t="s">
        <v>658</v>
      </c>
      <c r="H72" s="69" t="s">
        <v>129</v>
      </c>
      <c r="I72" s="69" t="s">
        <v>483</v>
      </c>
      <c r="J72" s="69" t="s">
        <v>484</v>
      </c>
      <c r="K72" s="69"/>
    </row>
    <row r="73" customFormat="false" ht="35.05" hidden="false" customHeight="false" outlineLevel="0" collapsed="false">
      <c r="A73" s="73" t="n">
        <v>72</v>
      </c>
      <c r="B73" s="73" t="s">
        <v>654</v>
      </c>
      <c r="C73" s="73" t="s">
        <v>654</v>
      </c>
      <c r="D73" s="73" t="s">
        <v>659</v>
      </c>
      <c r="E73" s="73" t="s">
        <v>660</v>
      </c>
      <c r="F73" s="73" t="s">
        <v>657</v>
      </c>
      <c r="G73" s="73" t="s">
        <v>658</v>
      </c>
      <c r="H73" s="73" t="s">
        <v>129</v>
      </c>
      <c r="I73" s="73" t="s">
        <v>483</v>
      </c>
      <c r="J73" s="73" t="s">
        <v>484</v>
      </c>
      <c r="K73" s="73"/>
    </row>
    <row r="74" customFormat="false" ht="35.05" hidden="false" customHeight="false" outlineLevel="0" collapsed="false">
      <c r="A74" s="69" t="n">
        <v>73</v>
      </c>
      <c r="B74" s="69" t="s">
        <v>654</v>
      </c>
      <c r="C74" s="69" t="s">
        <v>654</v>
      </c>
      <c r="D74" s="69" t="s">
        <v>661</v>
      </c>
      <c r="E74" s="69" t="s">
        <v>662</v>
      </c>
      <c r="F74" s="69" t="s">
        <v>657</v>
      </c>
      <c r="G74" s="69" t="s">
        <v>658</v>
      </c>
      <c r="H74" s="69" t="s">
        <v>129</v>
      </c>
      <c r="I74" s="69" t="s">
        <v>483</v>
      </c>
      <c r="J74" s="69" t="s">
        <v>484</v>
      </c>
      <c r="K74" s="69"/>
    </row>
    <row r="75" customFormat="false" ht="35.05" hidden="false" customHeight="false" outlineLevel="0" collapsed="false">
      <c r="A75" s="73" t="n">
        <v>74</v>
      </c>
      <c r="B75" s="73" t="s">
        <v>654</v>
      </c>
      <c r="C75" s="73" t="s">
        <v>654</v>
      </c>
      <c r="D75" s="73" t="s">
        <v>663</v>
      </c>
      <c r="E75" s="73" t="s">
        <v>664</v>
      </c>
      <c r="F75" s="73" t="s">
        <v>657</v>
      </c>
      <c r="G75" s="73" t="s">
        <v>658</v>
      </c>
      <c r="H75" s="73" t="s">
        <v>129</v>
      </c>
      <c r="I75" s="73" t="s">
        <v>483</v>
      </c>
      <c r="J75" s="73" t="s">
        <v>484</v>
      </c>
      <c r="K75" s="73"/>
    </row>
    <row r="76" customFormat="false" ht="23.85" hidden="false" customHeight="false" outlineLevel="0" collapsed="false">
      <c r="A76" s="69" t="n">
        <v>75</v>
      </c>
      <c r="B76" s="69" t="s">
        <v>654</v>
      </c>
      <c r="C76" s="69" t="s">
        <v>654</v>
      </c>
      <c r="D76" s="69" t="s">
        <v>665</v>
      </c>
      <c r="E76" s="69" t="s">
        <v>666</v>
      </c>
      <c r="F76" s="69" t="s">
        <v>657</v>
      </c>
      <c r="G76" s="69" t="s">
        <v>658</v>
      </c>
      <c r="H76" s="69" t="s">
        <v>129</v>
      </c>
      <c r="I76" s="69" t="s">
        <v>483</v>
      </c>
      <c r="J76" s="69" t="s">
        <v>484</v>
      </c>
      <c r="K76" s="69"/>
    </row>
    <row r="77" customFormat="false" ht="23.85" hidden="false" customHeight="false" outlineLevel="0" collapsed="false">
      <c r="A77" s="73" t="n">
        <v>76</v>
      </c>
      <c r="B77" s="73" t="s">
        <v>667</v>
      </c>
      <c r="C77" s="73" t="s">
        <v>667</v>
      </c>
      <c r="D77" s="73" t="s">
        <v>668</v>
      </c>
      <c r="E77" s="73" t="s">
        <v>669</v>
      </c>
      <c r="F77" s="73" t="s">
        <v>670</v>
      </c>
      <c r="G77" s="73" t="s">
        <v>671</v>
      </c>
      <c r="H77" s="73" t="s">
        <v>131</v>
      </c>
      <c r="I77" s="73" t="s">
        <v>491</v>
      </c>
      <c r="J77" s="73" t="s">
        <v>346</v>
      </c>
      <c r="K77" s="73"/>
    </row>
    <row r="78" customFormat="false" ht="23.85" hidden="false" customHeight="false" outlineLevel="0" collapsed="false">
      <c r="A78" s="69" t="n">
        <v>77</v>
      </c>
      <c r="B78" s="69" t="s">
        <v>667</v>
      </c>
      <c r="C78" s="69" t="s">
        <v>667</v>
      </c>
      <c r="D78" s="69" t="s">
        <v>672</v>
      </c>
      <c r="E78" s="69" t="s">
        <v>673</v>
      </c>
      <c r="F78" s="69" t="s">
        <v>670</v>
      </c>
      <c r="G78" s="69" t="s">
        <v>671</v>
      </c>
      <c r="H78" s="69" t="s">
        <v>131</v>
      </c>
      <c r="I78" s="69" t="s">
        <v>491</v>
      </c>
      <c r="J78" s="69" t="s">
        <v>346</v>
      </c>
      <c r="K78" s="69"/>
    </row>
    <row r="79" customFormat="false" ht="35.05" hidden="false" customHeight="false" outlineLevel="0" collapsed="false">
      <c r="A79" s="73" t="n">
        <v>78</v>
      </c>
      <c r="B79" s="73" t="s">
        <v>667</v>
      </c>
      <c r="C79" s="73" t="s">
        <v>667</v>
      </c>
      <c r="D79" s="73" t="s">
        <v>674</v>
      </c>
      <c r="E79" s="73" t="s">
        <v>675</v>
      </c>
      <c r="F79" s="73" t="s">
        <v>670</v>
      </c>
      <c r="G79" s="73" t="s">
        <v>671</v>
      </c>
      <c r="H79" s="73" t="s">
        <v>131</v>
      </c>
      <c r="I79" s="73" t="s">
        <v>491</v>
      </c>
      <c r="J79" s="73" t="s">
        <v>346</v>
      </c>
      <c r="K79" s="73"/>
    </row>
    <row r="80" customFormat="false" ht="15" hidden="false" customHeight="false" outlineLevel="0" collapsed="false">
      <c r="A80" s="69" t="n">
        <v>79</v>
      </c>
      <c r="B80" s="69" t="s">
        <v>667</v>
      </c>
      <c r="C80" s="69" t="s">
        <v>667</v>
      </c>
      <c r="D80" s="69" t="s">
        <v>676</v>
      </c>
      <c r="E80" s="69" t="s">
        <v>677</v>
      </c>
      <c r="F80" s="69" t="s">
        <v>670</v>
      </c>
      <c r="G80" s="69" t="s">
        <v>671</v>
      </c>
      <c r="H80" s="69" t="s">
        <v>131</v>
      </c>
      <c r="I80" s="69" t="s">
        <v>491</v>
      </c>
      <c r="J80" s="69" t="s">
        <v>346</v>
      </c>
      <c r="K80" s="69"/>
    </row>
    <row r="81" customFormat="false" ht="15" hidden="false" customHeight="false" outlineLevel="0" collapsed="false">
      <c r="A81" s="73" t="n">
        <v>80</v>
      </c>
      <c r="B81" s="73" t="s">
        <v>667</v>
      </c>
      <c r="C81" s="73" t="s">
        <v>667</v>
      </c>
      <c r="D81" s="73" t="s">
        <v>678</v>
      </c>
      <c r="E81" s="73" t="s">
        <v>679</v>
      </c>
      <c r="F81" s="73" t="s">
        <v>670</v>
      </c>
      <c r="G81" s="73" t="s">
        <v>671</v>
      </c>
      <c r="H81" s="73" t="s">
        <v>131</v>
      </c>
      <c r="I81" s="73" t="s">
        <v>491</v>
      </c>
      <c r="J81" s="73" t="s">
        <v>346</v>
      </c>
      <c r="K81" s="73"/>
    </row>
    <row r="82" customFormat="false" ht="15" hidden="false" customHeight="false" outlineLevel="0" collapsed="false">
      <c r="A82" s="69" t="n">
        <v>81</v>
      </c>
      <c r="B82" s="69" t="s">
        <v>667</v>
      </c>
      <c r="C82" s="69" t="s">
        <v>667</v>
      </c>
      <c r="D82" s="69" t="s">
        <v>680</v>
      </c>
      <c r="E82" s="69" t="s">
        <v>681</v>
      </c>
      <c r="F82" s="69" t="s">
        <v>670</v>
      </c>
      <c r="G82" s="69" t="s">
        <v>671</v>
      </c>
      <c r="H82" s="69" t="s">
        <v>131</v>
      </c>
      <c r="I82" s="69" t="s">
        <v>491</v>
      </c>
      <c r="J82" s="69" t="s">
        <v>346</v>
      </c>
      <c r="K82" s="69"/>
    </row>
    <row r="83" customFormat="false" ht="15" hidden="false" customHeight="false" outlineLevel="0" collapsed="false">
      <c r="A83" s="73" t="n">
        <v>82</v>
      </c>
      <c r="B83" s="73" t="s">
        <v>667</v>
      </c>
      <c r="C83" s="73" t="s">
        <v>667</v>
      </c>
      <c r="D83" s="73" t="s">
        <v>682</v>
      </c>
      <c r="E83" s="73" t="s">
        <v>683</v>
      </c>
      <c r="F83" s="73" t="s">
        <v>670</v>
      </c>
      <c r="G83" s="73" t="s">
        <v>671</v>
      </c>
      <c r="H83" s="73" t="s">
        <v>131</v>
      </c>
      <c r="I83" s="73" t="s">
        <v>491</v>
      </c>
      <c r="J83" s="73" t="s">
        <v>346</v>
      </c>
      <c r="K83" s="73"/>
    </row>
    <row r="84" customFormat="false" ht="15" hidden="false" customHeight="false" outlineLevel="0" collapsed="false">
      <c r="A84" s="69" t="n">
        <v>83</v>
      </c>
      <c r="B84" s="69" t="s">
        <v>667</v>
      </c>
      <c r="C84" s="69" t="s">
        <v>667</v>
      </c>
      <c r="D84" s="69" t="s">
        <v>684</v>
      </c>
      <c r="E84" s="69" t="s">
        <v>685</v>
      </c>
      <c r="F84" s="69" t="s">
        <v>670</v>
      </c>
      <c r="G84" s="69" t="s">
        <v>671</v>
      </c>
      <c r="H84" s="69" t="s">
        <v>129</v>
      </c>
      <c r="I84" s="69" t="s">
        <v>483</v>
      </c>
      <c r="J84" s="69" t="s">
        <v>484</v>
      </c>
      <c r="K84" s="69"/>
    </row>
    <row r="85" customFormat="false" ht="35.05" hidden="false" customHeight="false" outlineLevel="0" collapsed="false">
      <c r="A85" s="73" t="n">
        <v>84</v>
      </c>
      <c r="B85" s="73" t="s">
        <v>667</v>
      </c>
      <c r="C85" s="73" t="s">
        <v>667</v>
      </c>
      <c r="D85" s="73" t="s">
        <v>686</v>
      </c>
      <c r="E85" s="73" t="s">
        <v>687</v>
      </c>
      <c r="F85" s="73" t="s">
        <v>670</v>
      </c>
      <c r="G85" s="73" t="s">
        <v>671</v>
      </c>
      <c r="H85" s="73" t="s">
        <v>131</v>
      </c>
      <c r="I85" s="73" t="s">
        <v>491</v>
      </c>
      <c r="J85" s="73" t="s">
        <v>346</v>
      </c>
      <c r="K85" s="73"/>
    </row>
    <row r="86" customFormat="false" ht="35.05" hidden="false" customHeight="false" outlineLevel="0" collapsed="false">
      <c r="A86" s="69" t="n">
        <v>85</v>
      </c>
      <c r="B86" s="69" t="s">
        <v>688</v>
      </c>
      <c r="C86" s="69" t="s">
        <v>689</v>
      </c>
      <c r="D86" s="69" t="s">
        <v>535</v>
      </c>
      <c r="E86" s="69" t="s">
        <v>690</v>
      </c>
      <c r="F86" s="69" t="s">
        <v>657</v>
      </c>
      <c r="G86" s="69"/>
      <c r="H86" s="69" t="s">
        <v>131</v>
      </c>
      <c r="I86" s="69" t="s">
        <v>491</v>
      </c>
      <c r="J86" s="69" t="s">
        <v>346</v>
      </c>
      <c r="K86" s="69"/>
    </row>
    <row r="87" customFormat="false" ht="35.05" hidden="false" customHeight="false" outlineLevel="0" collapsed="false">
      <c r="A87" s="73" t="n">
        <v>86</v>
      </c>
      <c r="B87" s="73" t="s">
        <v>688</v>
      </c>
      <c r="C87" s="73" t="s">
        <v>691</v>
      </c>
      <c r="D87" s="73" t="s">
        <v>692</v>
      </c>
      <c r="E87" s="73" t="s">
        <v>693</v>
      </c>
      <c r="F87" s="73" t="s">
        <v>657</v>
      </c>
      <c r="G87" s="73"/>
      <c r="H87" s="73" t="s">
        <v>131</v>
      </c>
      <c r="I87" s="73" t="s">
        <v>491</v>
      </c>
      <c r="J87" s="73" t="s">
        <v>346</v>
      </c>
      <c r="K87" s="73"/>
    </row>
    <row r="88" customFormat="false" ht="35.05" hidden="false" customHeight="false" outlineLevel="0" collapsed="false">
      <c r="A88" s="69" t="n">
        <v>87</v>
      </c>
      <c r="B88" s="69" t="s">
        <v>688</v>
      </c>
      <c r="C88" s="69" t="s">
        <v>694</v>
      </c>
      <c r="D88" s="69" t="s">
        <v>695</v>
      </c>
      <c r="E88" s="69" t="s">
        <v>696</v>
      </c>
      <c r="F88" s="69" t="s">
        <v>657</v>
      </c>
      <c r="G88" s="69"/>
      <c r="H88" s="69" t="s">
        <v>131</v>
      </c>
      <c r="I88" s="69" t="s">
        <v>483</v>
      </c>
      <c r="J88" s="69" t="s">
        <v>484</v>
      </c>
      <c r="K88" s="69" t="s">
        <v>697</v>
      </c>
    </row>
  </sheetData>
  <autoFilter ref="A1:K88"/>
  <conditionalFormatting sqref="H2:H88">
    <cfRule type="cellIs" priority="2" operator="equal" aboveAverage="0" equalAverage="0" bottom="0" percent="0" rank="0" text="" dxfId="15">
      <formula>"COMPLETAR"</formula>
    </cfRule>
    <cfRule type="cellIs" priority="3" operator="equal" aboveAverage="0" equalAverage="0" bottom="0" percent="0" rank="0" text="" dxfId="16">
      <formula>"Falta planificación"</formula>
    </cfRule>
    <cfRule type="cellIs" priority="4" operator="equal" aboveAverage="0" equalAverage="0" bottom="0" percent="0" rank="0" text="" dxfId="17">
      <formula>"Programado"</formula>
    </cfRule>
    <cfRule type="cellIs" priority="5" operator="equal" aboveAverage="0" equalAverage="0" bottom="0" percent="0" rank="0" text="" dxfId="18">
      <formula>"No iniciado"</formula>
    </cfRule>
    <cfRule type="cellIs" priority="6" operator="equal" aboveAverage="0" equalAverage="0" bottom="0" percent="0" rank="0" text="" dxfId="19">
      <formula>"Inicio anticipado"</formula>
    </cfRule>
    <cfRule type="cellIs" priority="7" operator="equal" aboveAverage="0" equalAverage="0" bottom="0" percent="0" rank="0" text="" dxfId="20">
      <formula>"En curso"</formula>
    </cfRule>
    <cfRule type="cellIs" priority="8" operator="equal" aboveAverage="0" equalAverage="0" bottom="0" percent="0" rank="0" text="" dxfId="21">
      <formula>"Inicio retrasado"</formula>
    </cfRule>
    <cfRule type="cellIs" priority="9" operator="equal" aboveAverage="0" equalAverage="0" bottom="0" percent="0" rank="0" text="" dxfId="15">
      <formula>"Atrasado"</formula>
    </cfRule>
    <cfRule type="cellIs" priority="10" operator="equal" aboveAverage="0" equalAverage="0" bottom="0" percent="0" rank="0" text="" dxfId="19">
      <formula>"Finalizado anticipado"</formula>
    </cfRule>
    <cfRule type="cellIs" priority="11" operator="equal" aboveAverage="0" equalAverage="0" bottom="0" percent="0" rank="0" text="" dxfId="22">
      <formula>"Finalizado"</formula>
    </cfRule>
    <cfRule type="cellIs" priority="12" operator="equal" aboveAverage="0" equalAverage="0" bottom="0" percent="0" rank="0" text="" dxfId="21">
      <formula>"Finalizado con desfase"</formula>
    </cfRule>
    <cfRule type="cellIs" priority="13" operator="equal" aboveAverage="0" equalAverage="0" bottom="0" percent="0" rank="0" text="" dxfId="22">
      <formula>"Listo"</formula>
    </cfRule>
    <cfRule type="cellIs" priority="14" operator="equal" aboveAverage="0" equalAverage="0" bottom="0" percent="0" rank="0" text="" dxfId="20">
      <formula>"Maqueta"</formula>
    </cfRule>
    <cfRule type="cellIs" priority="15" operator="equal" aboveAverage="0" equalAverage="0" bottom="0" percent="0" rank="0" text="" dxfId="18">
      <formula>"Pendiente"</formula>
    </cfRule>
    <cfRule type="cellIs" priority="16" operator="equal" aboveAverage="0" equalAverage="0" bottom="0" percent="0" rank="0" text="" dxfId="21">
      <formula>"Observado"</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8500"/>
    <pageSetUpPr fitToPage="true"/>
  </sheetPr>
  <dimension ref="A1:L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12" min="2" style="0" width="16"/>
  </cols>
  <sheetData>
    <row r="1" customFormat="false" ht="27.75" hidden="false" customHeight="true" outlineLevel="0" collapsed="false">
      <c r="A1" s="66" t="s">
        <v>298</v>
      </c>
      <c r="B1" s="66" t="s">
        <v>47</v>
      </c>
      <c r="C1" s="66" t="s">
        <v>299</v>
      </c>
      <c r="D1" s="66" t="s">
        <v>300</v>
      </c>
      <c r="E1" s="66" t="s">
        <v>698</v>
      </c>
      <c r="F1" s="66" t="s">
        <v>699</v>
      </c>
      <c r="G1" s="66" t="s">
        <v>474</v>
      </c>
      <c r="H1" s="66" t="s">
        <v>475</v>
      </c>
      <c r="I1" s="66" t="s">
        <v>476</v>
      </c>
      <c r="J1" s="66" t="s">
        <v>308</v>
      </c>
      <c r="K1" s="66" t="s">
        <v>68</v>
      </c>
      <c r="L1" s="66"/>
    </row>
    <row r="2" customFormat="false" ht="23.85" hidden="false" customHeight="false" outlineLevel="0" collapsed="false">
      <c r="A2" s="69" t="n">
        <v>1</v>
      </c>
      <c r="B2" s="69" t="s">
        <v>700</v>
      </c>
      <c r="C2" s="69"/>
      <c r="D2" s="69" t="s">
        <v>701</v>
      </c>
      <c r="E2" s="69" t="s">
        <v>702</v>
      </c>
      <c r="F2" s="69" t="s">
        <v>329</v>
      </c>
      <c r="G2" s="69"/>
      <c r="H2" s="69"/>
      <c r="I2" s="69"/>
      <c r="J2" s="69"/>
      <c r="K2" s="69"/>
      <c r="L2" s="69"/>
    </row>
    <row r="3" customFormat="false" ht="46.25" hidden="false" customHeight="false" outlineLevel="0" collapsed="false">
      <c r="A3" s="73" t="n">
        <v>2</v>
      </c>
      <c r="B3" s="73" t="s">
        <v>700</v>
      </c>
      <c r="C3" s="73"/>
      <c r="D3" s="73" t="s">
        <v>703</v>
      </c>
      <c r="E3" s="73" t="s">
        <v>704</v>
      </c>
      <c r="F3" s="73" t="s">
        <v>329</v>
      </c>
      <c r="G3" s="73"/>
      <c r="H3" s="73"/>
      <c r="I3" s="73"/>
      <c r="J3" s="73"/>
      <c r="K3" s="73"/>
      <c r="L3" s="73"/>
    </row>
    <row r="4" customFormat="false" ht="46.25" hidden="false" customHeight="false" outlineLevel="0" collapsed="false">
      <c r="A4" s="69" t="n">
        <v>3</v>
      </c>
      <c r="B4" s="69" t="s">
        <v>700</v>
      </c>
      <c r="C4" s="69"/>
      <c r="D4" s="69" t="s">
        <v>705</v>
      </c>
      <c r="E4" s="69" t="s">
        <v>706</v>
      </c>
      <c r="F4" s="69" t="s">
        <v>329</v>
      </c>
      <c r="G4" s="69"/>
      <c r="H4" s="69"/>
      <c r="I4" s="69"/>
      <c r="J4" s="69"/>
      <c r="K4" s="69"/>
      <c r="L4" s="69"/>
    </row>
    <row r="5" customFormat="false" ht="46.25" hidden="false" customHeight="false" outlineLevel="0" collapsed="false">
      <c r="A5" s="73" t="n">
        <v>4</v>
      </c>
      <c r="B5" s="73" t="s">
        <v>700</v>
      </c>
      <c r="C5" s="73"/>
      <c r="D5" s="73" t="s">
        <v>707</v>
      </c>
      <c r="E5" s="73" t="s">
        <v>708</v>
      </c>
      <c r="F5" s="73" t="s">
        <v>329</v>
      </c>
      <c r="G5" s="73"/>
      <c r="H5" s="73"/>
      <c r="I5" s="73"/>
      <c r="J5" s="73"/>
      <c r="K5" s="73"/>
      <c r="L5" s="73"/>
    </row>
    <row r="6" customFormat="false" ht="79.85" hidden="false" customHeight="false" outlineLevel="0" collapsed="false">
      <c r="A6" s="69" t="n">
        <v>5</v>
      </c>
      <c r="B6" s="69" t="s">
        <v>700</v>
      </c>
      <c r="C6" s="69"/>
      <c r="D6" s="69" t="s">
        <v>709</v>
      </c>
      <c r="E6" s="69" t="s">
        <v>710</v>
      </c>
      <c r="F6" s="69" t="s">
        <v>329</v>
      </c>
      <c r="G6" s="69"/>
      <c r="H6" s="69"/>
      <c r="I6" s="69"/>
      <c r="J6" s="69"/>
      <c r="K6" s="69"/>
      <c r="L6" s="69"/>
    </row>
    <row r="7" customFormat="false" ht="23.85" hidden="false" customHeight="false" outlineLevel="0" collapsed="false">
      <c r="A7" s="73" t="n">
        <v>6</v>
      </c>
      <c r="B7" s="73" t="s">
        <v>700</v>
      </c>
      <c r="C7" s="73"/>
      <c r="D7" s="73" t="s">
        <v>711</v>
      </c>
      <c r="E7" s="73" t="s">
        <v>712</v>
      </c>
      <c r="F7" s="73" t="s">
        <v>329</v>
      </c>
      <c r="G7" s="73"/>
      <c r="H7" s="73"/>
      <c r="I7" s="73"/>
      <c r="J7" s="73"/>
      <c r="K7" s="73"/>
      <c r="L7" s="73"/>
    </row>
    <row r="8" customFormat="false" ht="35.05" hidden="false" customHeight="false" outlineLevel="0" collapsed="false">
      <c r="A8" s="69" t="n">
        <v>7</v>
      </c>
      <c r="B8" s="69" t="s">
        <v>700</v>
      </c>
      <c r="C8" s="69"/>
      <c r="D8" s="69" t="s">
        <v>713</v>
      </c>
      <c r="E8" s="69" t="s">
        <v>714</v>
      </c>
      <c r="F8" s="69" t="s">
        <v>329</v>
      </c>
      <c r="G8" s="69"/>
      <c r="H8" s="69"/>
      <c r="I8" s="69"/>
      <c r="J8" s="69"/>
      <c r="K8" s="69"/>
      <c r="L8" s="69"/>
    </row>
    <row r="9" customFormat="false" ht="35.05" hidden="false" customHeight="false" outlineLevel="0" collapsed="false">
      <c r="A9" s="73" t="n">
        <v>8</v>
      </c>
      <c r="B9" s="73" t="s">
        <v>700</v>
      </c>
      <c r="C9" s="73"/>
      <c r="D9" s="73" t="s">
        <v>715</v>
      </c>
      <c r="E9" s="73" t="s">
        <v>716</v>
      </c>
      <c r="F9" s="73" t="s">
        <v>329</v>
      </c>
      <c r="G9" s="73"/>
      <c r="H9" s="73"/>
      <c r="I9" s="73"/>
      <c r="J9" s="73"/>
      <c r="K9" s="73"/>
      <c r="L9" s="73"/>
    </row>
    <row r="10" customFormat="false" ht="23.85" hidden="false" customHeight="false" outlineLevel="0" collapsed="false">
      <c r="A10" s="69" t="n">
        <v>9</v>
      </c>
      <c r="B10" s="69" t="s">
        <v>700</v>
      </c>
      <c r="C10" s="69"/>
      <c r="D10" s="69" t="s">
        <v>717</v>
      </c>
      <c r="E10" s="69" t="s">
        <v>718</v>
      </c>
      <c r="F10" s="69" t="s">
        <v>329</v>
      </c>
      <c r="G10" s="69"/>
      <c r="H10" s="69"/>
      <c r="I10" s="69"/>
      <c r="J10" s="69"/>
      <c r="K10" s="69"/>
      <c r="L10" s="69"/>
    </row>
    <row r="11" customFormat="false" ht="214.15" hidden="false" customHeight="false" outlineLevel="0" collapsed="false">
      <c r="A11" s="73" t="n">
        <v>10</v>
      </c>
      <c r="B11" s="73" t="s">
        <v>700</v>
      </c>
      <c r="C11" s="73"/>
      <c r="D11" s="73" t="s">
        <v>719</v>
      </c>
      <c r="E11" s="73" t="s">
        <v>720</v>
      </c>
      <c r="F11" s="73" t="s">
        <v>329</v>
      </c>
      <c r="G11" s="73"/>
      <c r="H11" s="73"/>
      <c r="I11" s="73"/>
      <c r="J11" s="73"/>
      <c r="K11" s="73"/>
      <c r="L11" s="73"/>
    </row>
    <row r="12" customFormat="false" ht="35.05" hidden="false" customHeight="false" outlineLevel="0" collapsed="false">
      <c r="A12" s="69" t="n">
        <v>11</v>
      </c>
      <c r="B12" s="69" t="s">
        <v>700</v>
      </c>
      <c r="C12" s="69"/>
      <c r="D12" s="69" t="s">
        <v>721</v>
      </c>
      <c r="E12" s="69" t="s">
        <v>722</v>
      </c>
      <c r="F12" s="69" t="s">
        <v>329</v>
      </c>
      <c r="G12" s="69"/>
      <c r="H12" s="69"/>
      <c r="I12" s="69"/>
      <c r="J12" s="69"/>
      <c r="K12" s="69"/>
      <c r="L12" s="69"/>
    </row>
    <row r="13" customFormat="false" ht="57.45" hidden="false" customHeight="false" outlineLevel="0" collapsed="false">
      <c r="A13" s="73" t="n">
        <v>12</v>
      </c>
      <c r="B13" s="73" t="s">
        <v>700</v>
      </c>
      <c r="C13" s="73"/>
      <c r="D13" s="73" t="s">
        <v>723</v>
      </c>
      <c r="E13" s="73" t="s">
        <v>724</v>
      </c>
      <c r="F13" s="73" t="s">
        <v>329</v>
      </c>
      <c r="G13" s="73"/>
      <c r="H13" s="73"/>
      <c r="I13" s="73"/>
      <c r="J13" s="73"/>
      <c r="K13" s="73"/>
      <c r="L13" s="73"/>
    </row>
    <row r="14" customFormat="false" ht="35.05" hidden="false" customHeight="false" outlineLevel="0" collapsed="false">
      <c r="A14" s="69" t="n">
        <v>13</v>
      </c>
      <c r="B14" s="69" t="s">
        <v>700</v>
      </c>
      <c r="C14" s="69"/>
      <c r="D14" s="69" t="s">
        <v>725</v>
      </c>
      <c r="E14" s="69" t="s">
        <v>726</v>
      </c>
      <c r="F14" s="69" t="s">
        <v>329</v>
      </c>
      <c r="G14" s="69"/>
      <c r="H14" s="69"/>
      <c r="I14" s="69"/>
      <c r="J14" s="69"/>
      <c r="K14" s="69"/>
      <c r="L14" s="69"/>
    </row>
    <row r="15" customFormat="false" ht="68.65" hidden="false" customHeight="false" outlineLevel="0" collapsed="false">
      <c r="A15" s="73" t="n">
        <v>14</v>
      </c>
      <c r="B15" s="73" t="s">
        <v>700</v>
      </c>
      <c r="C15" s="73"/>
      <c r="D15" s="73" t="s">
        <v>727</v>
      </c>
      <c r="E15" s="73" t="s">
        <v>728</v>
      </c>
      <c r="F15" s="73" t="s">
        <v>329</v>
      </c>
      <c r="G15" s="73"/>
      <c r="H15" s="73"/>
      <c r="I15" s="73"/>
      <c r="J15" s="73"/>
      <c r="K15" s="73"/>
      <c r="L15" s="73"/>
    </row>
    <row r="16" customFormat="false" ht="68.65" hidden="false" customHeight="false" outlineLevel="0" collapsed="false">
      <c r="A16" s="69" t="n">
        <v>15</v>
      </c>
      <c r="B16" s="69" t="s">
        <v>700</v>
      </c>
      <c r="C16" s="69"/>
      <c r="D16" s="69" t="s">
        <v>729</v>
      </c>
      <c r="E16" s="69" t="s">
        <v>730</v>
      </c>
      <c r="F16" s="69" t="s">
        <v>329</v>
      </c>
      <c r="G16" s="69"/>
      <c r="H16" s="69"/>
      <c r="I16" s="69"/>
      <c r="J16" s="69"/>
      <c r="K16" s="69"/>
      <c r="L16" s="69"/>
    </row>
    <row r="17" customFormat="false" ht="79.85" hidden="false" customHeight="false" outlineLevel="0" collapsed="false">
      <c r="A17" s="73" t="n">
        <v>16</v>
      </c>
      <c r="B17" s="73" t="s">
        <v>700</v>
      </c>
      <c r="C17" s="73"/>
      <c r="D17" s="73" t="s">
        <v>731</v>
      </c>
      <c r="E17" s="73" t="s">
        <v>732</v>
      </c>
      <c r="F17" s="73" t="s">
        <v>329</v>
      </c>
      <c r="G17" s="73"/>
      <c r="H17" s="73"/>
      <c r="I17" s="73"/>
      <c r="J17" s="73"/>
      <c r="K17" s="73"/>
      <c r="L17" s="73"/>
    </row>
    <row r="18" customFormat="false" ht="180.55" hidden="false" customHeight="false" outlineLevel="0" collapsed="false">
      <c r="A18" s="69" t="n">
        <v>17</v>
      </c>
      <c r="B18" s="69" t="s">
        <v>700</v>
      </c>
      <c r="C18" s="69"/>
      <c r="D18" s="69" t="s">
        <v>733</v>
      </c>
      <c r="E18" s="69" t="s">
        <v>734</v>
      </c>
      <c r="F18" s="69" t="s">
        <v>329</v>
      </c>
      <c r="G18" s="69"/>
      <c r="H18" s="69"/>
      <c r="I18" s="69"/>
      <c r="J18" s="69"/>
      <c r="K18" s="69"/>
      <c r="L18" s="69"/>
    </row>
  </sheetData>
  <autoFilter ref="A1:L18"/>
  <conditionalFormatting sqref="I2:I18">
    <cfRule type="cellIs" priority="2" operator="equal" aboveAverage="0" equalAverage="0" bottom="0" percent="0" rank="0" text="" dxfId="15">
      <formula>"COMPLETAR"</formula>
    </cfRule>
    <cfRule type="cellIs" priority="3" operator="equal" aboveAverage="0" equalAverage="0" bottom="0" percent="0" rank="0" text="" dxfId="16">
      <formula>"Falta planificación"</formula>
    </cfRule>
    <cfRule type="cellIs" priority="4" operator="equal" aboveAverage="0" equalAverage="0" bottom="0" percent="0" rank="0" text="" dxfId="17">
      <formula>"Programado"</formula>
    </cfRule>
    <cfRule type="cellIs" priority="5" operator="equal" aboveAverage="0" equalAverage="0" bottom="0" percent="0" rank="0" text="" dxfId="18">
      <formula>"No iniciado"</formula>
    </cfRule>
    <cfRule type="cellIs" priority="6" operator="equal" aboveAverage="0" equalAverage="0" bottom="0" percent="0" rank="0" text="" dxfId="19">
      <formula>"Inicio anticipado"</formula>
    </cfRule>
    <cfRule type="cellIs" priority="7" operator="equal" aboveAverage="0" equalAverage="0" bottom="0" percent="0" rank="0" text="" dxfId="20">
      <formula>"En curso"</formula>
    </cfRule>
    <cfRule type="cellIs" priority="8" operator="equal" aboveAverage="0" equalAverage="0" bottom="0" percent="0" rank="0" text="" dxfId="21">
      <formula>"Inicio retrasado"</formula>
    </cfRule>
    <cfRule type="cellIs" priority="9" operator="equal" aboveAverage="0" equalAverage="0" bottom="0" percent="0" rank="0" text="" dxfId="15">
      <formula>"Atrasado"</formula>
    </cfRule>
    <cfRule type="cellIs" priority="10" operator="equal" aboveAverage="0" equalAverage="0" bottom="0" percent="0" rank="0" text="" dxfId="19">
      <formula>"Finalizado anticipado"</formula>
    </cfRule>
    <cfRule type="cellIs" priority="11" operator="equal" aboveAverage="0" equalAverage="0" bottom="0" percent="0" rank="0" text="" dxfId="22">
      <formula>"Finalizado"</formula>
    </cfRule>
    <cfRule type="cellIs" priority="12" operator="equal" aboveAverage="0" equalAverage="0" bottom="0" percent="0" rank="0" text="" dxfId="21">
      <formula>"Finalizado con desfase"</formula>
    </cfRule>
    <cfRule type="cellIs" priority="13" operator="equal" aboveAverage="0" equalAverage="0" bottom="0" percent="0" rank="0" text="" dxfId="22">
      <formula>"Listo"</formula>
    </cfRule>
    <cfRule type="cellIs" priority="14" operator="equal" aboveAverage="0" equalAverage="0" bottom="0" percent="0" rank="0" text="" dxfId="20">
      <formula>"Maqueta"</formula>
    </cfRule>
    <cfRule type="cellIs" priority="15" operator="equal" aboveAverage="0" equalAverage="0" bottom="0" percent="0" rank="0" text="" dxfId="18">
      <formula>"Pendiente"</formula>
    </cfRule>
    <cfRule type="cellIs" priority="16" operator="equal" aboveAverage="0" equalAverage="0" bottom="0" percent="0" rank="0" text="" dxfId="21">
      <formula>"Observado"</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AF7A"/>
    <pageSetUpPr fitToPage="true"/>
  </sheetPr>
  <dimension ref="A1:K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11" min="2" style="0" width="16"/>
  </cols>
  <sheetData>
    <row r="1" customFormat="false" ht="27.75" hidden="false" customHeight="true" outlineLevel="0" collapsed="false">
      <c r="A1" s="66" t="s">
        <v>298</v>
      </c>
      <c r="B1" s="66" t="s">
        <v>47</v>
      </c>
      <c r="C1" s="66" t="s">
        <v>299</v>
      </c>
      <c r="D1" s="66" t="s">
        <v>300</v>
      </c>
      <c r="E1" s="66" t="s">
        <v>698</v>
      </c>
      <c r="F1" s="66" t="s">
        <v>699</v>
      </c>
      <c r="G1" s="66" t="s">
        <v>474</v>
      </c>
      <c r="H1" s="66" t="s">
        <v>475</v>
      </c>
      <c r="I1" s="66" t="s">
        <v>476</v>
      </c>
      <c r="J1" s="66" t="s">
        <v>308</v>
      </c>
      <c r="K1" s="66" t="s">
        <v>68</v>
      </c>
    </row>
    <row r="2" customFormat="false" ht="35.05" hidden="false" customHeight="false" outlineLevel="0" collapsed="false">
      <c r="A2" s="69" t="n">
        <v>1</v>
      </c>
      <c r="B2" s="69" t="s">
        <v>63</v>
      </c>
      <c r="C2" s="69" t="s">
        <v>735</v>
      </c>
      <c r="D2" s="69" t="s">
        <v>736</v>
      </c>
      <c r="E2" s="69" t="s">
        <v>737</v>
      </c>
      <c r="F2" s="69" t="s">
        <v>329</v>
      </c>
      <c r="G2" s="69"/>
      <c r="H2" s="69"/>
      <c r="I2" s="69"/>
      <c r="J2" s="69"/>
      <c r="K2" s="69"/>
    </row>
    <row r="3" customFormat="false" ht="23.85" hidden="false" customHeight="false" outlineLevel="0" collapsed="false">
      <c r="A3" s="73" t="n">
        <v>2</v>
      </c>
      <c r="B3" s="73" t="s">
        <v>63</v>
      </c>
      <c r="C3" s="73" t="s">
        <v>735</v>
      </c>
      <c r="D3" s="73" t="s">
        <v>738</v>
      </c>
      <c r="E3" s="73" t="s">
        <v>739</v>
      </c>
      <c r="F3" s="73" t="s">
        <v>329</v>
      </c>
      <c r="G3" s="73"/>
      <c r="H3" s="73"/>
      <c r="I3" s="73"/>
      <c r="J3" s="73"/>
      <c r="K3" s="73"/>
    </row>
    <row r="4" customFormat="false" ht="135.8" hidden="false" customHeight="false" outlineLevel="0" collapsed="false">
      <c r="A4" s="69" t="n">
        <v>3</v>
      </c>
      <c r="B4" s="69" t="s">
        <v>63</v>
      </c>
      <c r="C4" s="69" t="s">
        <v>735</v>
      </c>
      <c r="D4" s="69" t="s">
        <v>740</v>
      </c>
      <c r="E4" s="69" t="s">
        <v>741</v>
      </c>
      <c r="F4" s="69" t="s">
        <v>329</v>
      </c>
      <c r="G4" s="69"/>
      <c r="H4" s="69"/>
      <c r="I4" s="69"/>
      <c r="J4" s="69"/>
      <c r="K4" s="69"/>
    </row>
    <row r="5" customFormat="false" ht="46.25" hidden="false" customHeight="false" outlineLevel="0" collapsed="false">
      <c r="A5" s="73" t="n">
        <v>4</v>
      </c>
      <c r="B5" s="73" t="s">
        <v>63</v>
      </c>
      <c r="C5" s="73" t="s">
        <v>735</v>
      </c>
      <c r="D5" s="73" t="s">
        <v>742</v>
      </c>
      <c r="E5" s="73" t="s">
        <v>743</v>
      </c>
      <c r="F5" s="73" t="s">
        <v>329</v>
      </c>
      <c r="G5" s="73"/>
      <c r="H5" s="73"/>
      <c r="I5" s="73"/>
      <c r="J5" s="73"/>
      <c r="K5" s="73"/>
    </row>
    <row r="6" customFormat="false" ht="46.25" hidden="false" customHeight="false" outlineLevel="0" collapsed="false">
      <c r="A6" s="69" t="n">
        <v>5</v>
      </c>
      <c r="B6" s="69" t="s">
        <v>63</v>
      </c>
      <c r="C6" s="69" t="s">
        <v>735</v>
      </c>
      <c r="D6" s="69" t="s">
        <v>744</v>
      </c>
      <c r="E6" s="69" t="s">
        <v>745</v>
      </c>
      <c r="F6" s="69" t="s">
        <v>329</v>
      </c>
      <c r="G6" s="69"/>
      <c r="H6" s="69"/>
      <c r="I6" s="69"/>
      <c r="J6" s="69"/>
      <c r="K6" s="69"/>
    </row>
    <row r="7" customFormat="false" ht="23.85" hidden="false" customHeight="false" outlineLevel="0" collapsed="false">
      <c r="A7" s="73" t="n">
        <v>6</v>
      </c>
      <c r="B7" s="73" t="s">
        <v>63</v>
      </c>
      <c r="C7" s="73" t="s">
        <v>735</v>
      </c>
      <c r="D7" s="73" t="s">
        <v>746</v>
      </c>
      <c r="E7" s="73" t="s">
        <v>747</v>
      </c>
      <c r="F7" s="73" t="s">
        <v>329</v>
      </c>
      <c r="G7" s="73"/>
      <c r="H7" s="73"/>
      <c r="I7" s="73"/>
      <c r="J7" s="73"/>
      <c r="K7" s="73"/>
    </row>
    <row r="8" customFormat="false" ht="57.45" hidden="false" customHeight="false" outlineLevel="0" collapsed="false">
      <c r="A8" s="69" t="n">
        <v>7</v>
      </c>
      <c r="B8" s="69" t="s">
        <v>63</v>
      </c>
      <c r="C8" s="69" t="s">
        <v>735</v>
      </c>
      <c r="D8" s="69" t="s">
        <v>748</v>
      </c>
      <c r="E8" s="69" t="s">
        <v>749</v>
      </c>
      <c r="F8" s="69" t="s">
        <v>329</v>
      </c>
      <c r="G8" s="69"/>
      <c r="H8" s="69"/>
      <c r="I8" s="69"/>
      <c r="J8" s="69"/>
      <c r="K8" s="69"/>
    </row>
    <row r="9" customFormat="false" ht="35.05" hidden="false" customHeight="false" outlineLevel="0" collapsed="false">
      <c r="A9" s="73" t="n">
        <v>8</v>
      </c>
      <c r="B9" s="73" t="s">
        <v>63</v>
      </c>
      <c r="C9" s="73" t="s">
        <v>735</v>
      </c>
      <c r="D9" s="73" t="s">
        <v>750</v>
      </c>
      <c r="E9" s="73" t="s">
        <v>751</v>
      </c>
      <c r="F9" s="73" t="s">
        <v>329</v>
      </c>
      <c r="G9" s="73"/>
      <c r="H9" s="73"/>
      <c r="I9" s="73"/>
      <c r="J9" s="73"/>
      <c r="K9" s="73"/>
    </row>
    <row r="10" customFormat="false" ht="35.05" hidden="false" customHeight="false" outlineLevel="0" collapsed="false">
      <c r="A10" s="69" t="n">
        <v>9</v>
      </c>
      <c r="B10" s="69" t="s">
        <v>63</v>
      </c>
      <c r="C10" s="69" t="s">
        <v>735</v>
      </c>
      <c r="D10" s="69" t="s">
        <v>752</v>
      </c>
      <c r="E10" s="69" t="s">
        <v>753</v>
      </c>
      <c r="F10" s="69" t="s">
        <v>329</v>
      </c>
      <c r="G10" s="69"/>
      <c r="H10" s="69"/>
      <c r="I10" s="69"/>
      <c r="J10" s="69"/>
      <c r="K10" s="69"/>
    </row>
    <row r="11" customFormat="false" ht="35.05" hidden="false" customHeight="false" outlineLevel="0" collapsed="false">
      <c r="A11" s="73" t="n">
        <v>10</v>
      </c>
      <c r="B11" s="73" t="s">
        <v>63</v>
      </c>
      <c r="C11" s="73" t="s">
        <v>735</v>
      </c>
      <c r="D11" s="73" t="s">
        <v>754</v>
      </c>
      <c r="E11" s="73" t="s">
        <v>755</v>
      </c>
      <c r="F11" s="73" t="s">
        <v>329</v>
      </c>
      <c r="G11" s="73"/>
      <c r="H11" s="73"/>
      <c r="I11" s="73"/>
      <c r="J11" s="73"/>
      <c r="K11" s="73"/>
    </row>
    <row r="12" customFormat="false" ht="23.85" hidden="false" customHeight="false" outlineLevel="0" collapsed="false">
      <c r="A12" s="69" t="n">
        <v>11</v>
      </c>
      <c r="B12" s="69" t="s">
        <v>63</v>
      </c>
      <c r="C12" s="69" t="s">
        <v>735</v>
      </c>
      <c r="D12" s="69" t="s">
        <v>756</v>
      </c>
      <c r="E12" s="69" t="s">
        <v>757</v>
      </c>
      <c r="F12" s="69" t="s">
        <v>329</v>
      </c>
      <c r="G12" s="69"/>
      <c r="H12" s="69"/>
      <c r="I12" s="69"/>
      <c r="J12" s="69"/>
      <c r="K12" s="69"/>
    </row>
    <row r="13" customFormat="false" ht="35.05" hidden="false" customHeight="false" outlineLevel="0" collapsed="false">
      <c r="A13" s="73" t="n">
        <v>12</v>
      </c>
      <c r="B13" s="73" t="s">
        <v>63</v>
      </c>
      <c r="C13" s="73" t="s">
        <v>735</v>
      </c>
      <c r="D13" s="73" t="s">
        <v>758</v>
      </c>
      <c r="E13" s="73" t="s">
        <v>759</v>
      </c>
      <c r="F13" s="73" t="s">
        <v>329</v>
      </c>
      <c r="G13" s="73"/>
      <c r="H13" s="73"/>
      <c r="I13" s="73"/>
      <c r="J13" s="73"/>
      <c r="K13" s="73"/>
    </row>
    <row r="14" customFormat="false" ht="35.05" hidden="false" customHeight="false" outlineLevel="0" collapsed="false">
      <c r="A14" s="69" t="n">
        <v>13</v>
      </c>
      <c r="B14" s="69" t="s">
        <v>63</v>
      </c>
      <c r="C14" s="69" t="s">
        <v>735</v>
      </c>
      <c r="D14" s="69" t="s">
        <v>760</v>
      </c>
      <c r="E14" s="69" t="s">
        <v>761</v>
      </c>
      <c r="F14" s="69" t="s">
        <v>329</v>
      </c>
      <c r="G14" s="69"/>
      <c r="H14" s="69"/>
      <c r="I14" s="69"/>
      <c r="J14" s="69"/>
      <c r="K14" s="69"/>
    </row>
    <row r="15" customFormat="false" ht="57.45" hidden="false" customHeight="false" outlineLevel="0" collapsed="false">
      <c r="A15" s="73" t="n">
        <v>14</v>
      </c>
      <c r="B15" s="73" t="s">
        <v>63</v>
      </c>
      <c r="C15" s="73" t="s">
        <v>735</v>
      </c>
      <c r="D15" s="73" t="s">
        <v>762</v>
      </c>
      <c r="E15" s="73" t="s">
        <v>763</v>
      </c>
      <c r="F15" s="73" t="s">
        <v>329</v>
      </c>
      <c r="G15" s="73"/>
      <c r="H15" s="73"/>
      <c r="I15" s="73"/>
      <c r="J15" s="73"/>
      <c r="K15" s="73"/>
    </row>
    <row r="16" customFormat="false" ht="135.8" hidden="false" customHeight="false" outlineLevel="0" collapsed="false">
      <c r="A16" s="69" t="n">
        <v>15</v>
      </c>
      <c r="B16" s="69" t="s">
        <v>63</v>
      </c>
      <c r="C16" s="69" t="s">
        <v>764</v>
      </c>
      <c r="D16" s="69" t="s">
        <v>765</v>
      </c>
      <c r="E16" s="69" t="s">
        <v>741</v>
      </c>
      <c r="F16" s="69" t="s">
        <v>329</v>
      </c>
      <c r="G16" s="69"/>
      <c r="H16" s="69"/>
      <c r="I16" s="69"/>
      <c r="J16" s="69"/>
      <c r="K16" s="69"/>
    </row>
    <row r="17" customFormat="false" ht="35.05" hidden="false" customHeight="false" outlineLevel="0" collapsed="false">
      <c r="A17" s="73" t="n">
        <v>16</v>
      </c>
      <c r="B17" s="73" t="s">
        <v>63</v>
      </c>
      <c r="C17" s="73" t="s">
        <v>764</v>
      </c>
      <c r="D17" s="73" t="s">
        <v>766</v>
      </c>
      <c r="E17" s="73" t="s">
        <v>767</v>
      </c>
      <c r="F17" s="73" t="s">
        <v>329</v>
      </c>
      <c r="G17" s="73"/>
      <c r="H17" s="73"/>
      <c r="I17" s="73"/>
      <c r="J17" s="73"/>
      <c r="K17" s="73"/>
    </row>
    <row r="18" customFormat="false" ht="46.25" hidden="false" customHeight="false" outlineLevel="0" collapsed="false">
      <c r="A18" s="69" t="n">
        <v>17</v>
      </c>
      <c r="B18" s="69" t="s">
        <v>63</v>
      </c>
      <c r="C18" s="69" t="s">
        <v>764</v>
      </c>
      <c r="D18" s="69" t="s">
        <v>768</v>
      </c>
      <c r="E18" s="69" t="s">
        <v>743</v>
      </c>
      <c r="F18" s="69" t="s">
        <v>329</v>
      </c>
      <c r="G18" s="69"/>
      <c r="H18" s="69"/>
      <c r="I18" s="69"/>
      <c r="J18" s="69"/>
      <c r="K18" s="69"/>
    </row>
    <row r="19" customFormat="false" ht="35.05" hidden="false" customHeight="false" outlineLevel="0" collapsed="false">
      <c r="A19" s="73" t="n">
        <v>18</v>
      </c>
      <c r="B19" s="73" t="s">
        <v>63</v>
      </c>
      <c r="C19" s="73" t="s">
        <v>764</v>
      </c>
      <c r="D19" s="73" t="s">
        <v>769</v>
      </c>
      <c r="E19" s="73" t="s">
        <v>770</v>
      </c>
      <c r="F19" s="73" t="s">
        <v>329</v>
      </c>
      <c r="G19" s="73"/>
      <c r="H19" s="73"/>
      <c r="I19" s="73"/>
      <c r="J19" s="73"/>
      <c r="K19" s="73"/>
    </row>
    <row r="20" customFormat="false" ht="23.85" hidden="false" customHeight="false" outlineLevel="0" collapsed="false">
      <c r="A20" s="69" t="n">
        <v>19</v>
      </c>
      <c r="B20" s="69" t="s">
        <v>63</v>
      </c>
      <c r="C20" s="69" t="s">
        <v>764</v>
      </c>
      <c r="D20" s="69" t="s">
        <v>771</v>
      </c>
      <c r="E20" s="69" t="s">
        <v>747</v>
      </c>
      <c r="F20" s="69" t="s">
        <v>329</v>
      </c>
      <c r="G20" s="69"/>
      <c r="H20" s="69"/>
      <c r="I20" s="69"/>
      <c r="J20" s="69"/>
      <c r="K20" s="69"/>
    </row>
    <row r="21" customFormat="false" ht="46.25" hidden="false" customHeight="false" outlineLevel="0" collapsed="false">
      <c r="A21" s="73" t="n">
        <v>20</v>
      </c>
      <c r="B21" s="73" t="s">
        <v>63</v>
      </c>
      <c r="C21" s="73" t="s">
        <v>764</v>
      </c>
      <c r="D21" s="73" t="s">
        <v>772</v>
      </c>
      <c r="E21" s="73" t="s">
        <v>773</v>
      </c>
      <c r="F21" s="73" t="s">
        <v>329</v>
      </c>
      <c r="G21" s="73"/>
      <c r="H21" s="73"/>
      <c r="I21" s="73"/>
      <c r="J21" s="73"/>
      <c r="K21" s="73"/>
    </row>
    <row r="22" customFormat="false" ht="57.45" hidden="false" customHeight="false" outlineLevel="0" collapsed="false">
      <c r="A22" s="69" t="n">
        <v>21</v>
      </c>
      <c r="B22" s="69" t="s">
        <v>63</v>
      </c>
      <c r="C22" s="69" t="s">
        <v>764</v>
      </c>
      <c r="D22" s="69" t="s">
        <v>774</v>
      </c>
      <c r="E22" s="69" t="s">
        <v>749</v>
      </c>
      <c r="F22" s="69" t="s">
        <v>329</v>
      </c>
      <c r="G22" s="69"/>
      <c r="H22" s="69"/>
      <c r="I22" s="69"/>
      <c r="J22" s="69"/>
      <c r="K22" s="69"/>
    </row>
    <row r="23" customFormat="false" ht="35.05" hidden="false" customHeight="false" outlineLevel="0" collapsed="false">
      <c r="A23" s="73" t="n">
        <v>22</v>
      </c>
      <c r="B23" s="73" t="s">
        <v>63</v>
      </c>
      <c r="C23" s="73" t="s">
        <v>764</v>
      </c>
      <c r="D23" s="73" t="s">
        <v>775</v>
      </c>
      <c r="E23" s="73" t="s">
        <v>751</v>
      </c>
      <c r="F23" s="73" t="s">
        <v>329</v>
      </c>
      <c r="G23" s="73"/>
      <c r="H23" s="73"/>
      <c r="I23" s="73"/>
      <c r="J23" s="73"/>
      <c r="K23" s="73"/>
    </row>
    <row r="24" customFormat="false" ht="35.05" hidden="false" customHeight="false" outlineLevel="0" collapsed="false">
      <c r="A24" s="69" t="n">
        <v>23</v>
      </c>
      <c r="B24" s="69" t="s">
        <v>63</v>
      </c>
      <c r="C24" s="69" t="s">
        <v>764</v>
      </c>
      <c r="D24" s="69" t="s">
        <v>776</v>
      </c>
      <c r="E24" s="69" t="s">
        <v>753</v>
      </c>
      <c r="F24" s="69" t="s">
        <v>329</v>
      </c>
      <c r="G24" s="69"/>
      <c r="H24" s="69"/>
      <c r="I24" s="69"/>
      <c r="J24" s="69"/>
      <c r="K24" s="69"/>
    </row>
    <row r="25" customFormat="false" ht="35.05" hidden="false" customHeight="false" outlineLevel="0" collapsed="false">
      <c r="A25" s="73" t="n">
        <v>24</v>
      </c>
      <c r="B25" s="73" t="s">
        <v>63</v>
      </c>
      <c r="C25" s="73" t="s">
        <v>764</v>
      </c>
      <c r="D25" s="73" t="s">
        <v>777</v>
      </c>
      <c r="E25" s="73" t="s">
        <v>755</v>
      </c>
      <c r="F25" s="73" t="s">
        <v>329</v>
      </c>
      <c r="G25" s="73"/>
      <c r="H25" s="73"/>
      <c r="I25" s="73"/>
      <c r="J25" s="73"/>
      <c r="K25" s="73"/>
    </row>
    <row r="26" customFormat="false" ht="23.85" hidden="false" customHeight="false" outlineLevel="0" collapsed="false">
      <c r="A26" s="69" t="n">
        <v>25</v>
      </c>
      <c r="B26" s="69" t="s">
        <v>63</v>
      </c>
      <c r="C26" s="69" t="s">
        <v>764</v>
      </c>
      <c r="D26" s="69" t="s">
        <v>778</v>
      </c>
      <c r="E26" s="69" t="s">
        <v>779</v>
      </c>
      <c r="F26" s="69" t="s">
        <v>329</v>
      </c>
      <c r="G26" s="69"/>
      <c r="H26" s="69"/>
      <c r="I26" s="69"/>
      <c r="J26" s="69"/>
      <c r="K26" s="69"/>
    </row>
    <row r="27" customFormat="false" ht="35.05" hidden="false" customHeight="false" outlineLevel="0" collapsed="false">
      <c r="A27" s="73" t="n">
        <v>26</v>
      </c>
      <c r="B27" s="73" t="s">
        <v>63</v>
      </c>
      <c r="C27" s="73" t="s">
        <v>764</v>
      </c>
      <c r="D27" s="73" t="s">
        <v>780</v>
      </c>
      <c r="E27" s="73" t="s">
        <v>759</v>
      </c>
      <c r="F27" s="73" t="s">
        <v>329</v>
      </c>
      <c r="G27" s="73"/>
      <c r="H27" s="73"/>
      <c r="I27" s="73"/>
      <c r="J27" s="73"/>
      <c r="K27" s="73"/>
    </row>
    <row r="28" customFormat="false" ht="35.05" hidden="false" customHeight="false" outlineLevel="0" collapsed="false">
      <c r="A28" s="69" t="n">
        <v>27</v>
      </c>
      <c r="B28" s="69" t="s">
        <v>63</v>
      </c>
      <c r="C28" s="69" t="s">
        <v>764</v>
      </c>
      <c r="D28" s="69" t="s">
        <v>781</v>
      </c>
      <c r="E28" s="69" t="s">
        <v>761</v>
      </c>
      <c r="F28" s="69" t="s">
        <v>329</v>
      </c>
      <c r="G28" s="69"/>
      <c r="H28" s="69"/>
      <c r="I28" s="69"/>
      <c r="J28" s="69"/>
      <c r="K28" s="69"/>
    </row>
    <row r="29" customFormat="false" ht="57.45" hidden="false" customHeight="false" outlineLevel="0" collapsed="false">
      <c r="A29" s="73" t="n">
        <v>28</v>
      </c>
      <c r="B29" s="73" t="s">
        <v>63</v>
      </c>
      <c r="C29" s="73" t="s">
        <v>764</v>
      </c>
      <c r="D29" s="73" t="s">
        <v>782</v>
      </c>
      <c r="E29" s="73" t="s">
        <v>763</v>
      </c>
      <c r="F29" s="73" t="s">
        <v>329</v>
      </c>
      <c r="G29" s="73"/>
      <c r="H29" s="73"/>
      <c r="I29" s="73"/>
      <c r="J29" s="73"/>
      <c r="K29" s="73"/>
    </row>
    <row r="30" customFormat="false" ht="35.05" hidden="false" customHeight="false" outlineLevel="0" collapsed="false">
      <c r="A30" s="69" t="n">
        <v>29</v>
      </c>
      <c r="B30" s="69" t="s">
        <v>63</v>
      </c>
      <c r="C30" s="69" t="s">
        <v>783</v>
      </c>
      <c r="D30" s="69" t="s">
        <v>784</v>
      </c>
      <c r="E30" s="69" t="s">
        <v>737</v>
      </c>
      <c r="F30" s="69" t="s">
        <v>329</v>
      </c>
      <c r="G30" s="69"/>
      <c r="H30" s="69"/>
      <c r="I30" s="69"/>
      <c r="J30" s="69"/>
      <c r="K30" s="69"/>
    </row>
    <row r="31" customFormat="false" ht="23.85" hidden="false" customHeight="false" outlineLevel="0" collapsed="false">
      <c r="A31" s="73" t="n">
        <v>30</v>
      </c>
      <c r="B31" s="73" t="s">
        <v>63</v>
      </c>
      <c r="C31" s="73" t="s">
        <v>783</v>
      </c>
      <c r="D31" s="73" t="s">
        <v>785</v>
      </c>
      <c r="E31" s="73" t="s">
        <v>739</v>
      </c>
      <c r="F31" s="73" t="s">
        <v>329</v>
      </c>
      <c r="G31" s="73"/>
      <c r="H31" s="73"/>
      <c r="I31" s="73"/>
      <c r="J31" s="73"/>
      <c r="K31" s="73"/>
    </row>
    <row r="32" customFormat="false" ht="135.8" hidden="false" customHeight="false" outlineLevel="0" collapsed="false">
      <c r="A32" s="69" t="n">
        <v>31</v>
      </c>
      <c r="B32" s="69" t="s">
        <v>63</v>
      </c>
      <c r="C32" s="69" t="s">
        <v>783</v>
      </c>
      <c r="D32" s="69" t="s">
        <v>786</v>
      </c>
      <c r="E32" s="69" t="s">
        <v>787</v>
      </c>
      <c r="F32" s="69" t="s">
        <v>329</v>
      </c>
      <c r="G32" s="69"/>
      <c r="H32" s="69"/>
      <c r="I32" s="69"/>
      <c r="J32" s="69"/>
      <c r="K32" s="69"/>
    </row>
    <row r="33" customFormat="false" ht="46.25" hidden="false" customHeight="false" outlineLevel="0" collapsed="false">
      <c r="A33" s="73" t="n">
        <v>32</v>
      </c>
      <c r="B33" s="73" t="s">
        <v>63</v>
      </c>
      <c r="C33" s="73" t="s">
        <v>783</v>
      </c>
      <c r="D33" s="73" t="s">
        <v>788</v>
      </c>
      <c r="E33" s="73" t="s">
        <v>743</v>
      </c>
      <c r="F33" s="73" t="s">
        <v>329</v>
      </c>
      <c r="G33" s="73"/>
      <c r="H33" s="73"/>
      <c r="I33" s="73"/>
      <c r="J33" s="73"/>
      <c r="K33" s="73"/>
    </row>
    <row r="34" customFormat="false" ht="46.25" hidden="false" customHeight="false" outlineLevel="0" collapsed="false">
      <c r="A34" s="69" t="n">
        <v>33</v>
      </c>
      <c r="B34" s="69" t="s">
        <v>63</v>
      </c>
      <c r="C34" s="69" t="s">
        <v>783</v>
      </c>
      <c r="D34" s="69" t="s">
        <v>789</v>
      </c>
      <c r="E34" s="69" t="s">
        <v>745</v>
      </c>
      <c r="F34" s="69" t="s">
        <v>329</v>
      </c>
      <c r="G34" s="69"/>
      <c r="H34" s="69"/>
      <c r="I34" s="69"/>
      <c r="J34" s="69"/>
      <c r="K34" s="69"/>
    </row>
    <row r="35" customFormat="false" ht="35.05" hidden="false" customHeight="false" outlineLevel="0" collapsed="false">
      <c r="A35" s="73" t="n">
        <v>34</v>
      </c>
      <c r="B35" s="73" t="s">
        <v>63</v>
      </c>
      <c r="C35" s="73" t="s">
        <v>783</v>
      </c>
      <c r="D35" s="73" t="s">
        <v>790</v>
      </c>
      <c r="E35" s="73" t="s">
        <v>791</v>
      </c>
      <c r="F35" s="73" t="s">
        <v>329</v>
      </c>
      <c r="G35" s="73"/>
      <c r="H35" s="73"/>
      <c r="I35" s="73"/>
      <c r="J35" s="73"/>
      <c r="K35" s="73"/>
    </row>
    <row r="36" customFormat="false" ht="23.85" hidden="false" customHeight="false" outlineLevel="0" collapsed="false">
      <c r="A36" s="69" t="n">
        <v>35</v>
      </c>
      <c r="B36" s="69" t="s">
        <v>63</v>
      </c>
      <c r="C36" s="69" t="s">
        <v>783</v>
      </c>
      <c r="D36" s="69" t="s">
        <v>792</v>
      </c>
      <c r="E36" s="69" t="s">
        <v>747</v>
      </c>
      <c r="F36" s="69" t="s">
        <v>329</v>
      </c>
      <c r="G36" s="69"/>
      <c r="H36" s="69"/>
      <c r="I36" s="69"/>
      <c r="J36" s="69"/>
      <c r="K36" s="69"/>
    </row>
    <row r="37" customFormat="false" ht="57.45" hidden="false" customHeight="false" outlineLevel="0" collapsed="false">
      <c r="A37" s="73" t="n">
        <v>36</v>
      </c>
      <c r="B37" s="73" t="s">
        <v>63</v>
      </c>
      <c r="C37" s="73" t="s">
        <v>783</v>
      </c>
      <c r="D37" s="73" t="s">
        <v>793</v>
      </c>
      <c r="E37" s="73" t="s">
        <v>749</v>
      </c>
      <c r="F37" s="73" t="s">
        <v>329</v>
      </c>
      <c r="G37" s="73"/>
      <c r="H37" s="73"/>
      <c r="I37" s="73"/>
      <c r="J37" s="73"/>
      <c r="K37" s="73"/>
    </row>
    <row r="38" customFormat="false" ht="35.05" hidden="false" customHeight="false" outlineLevel="0" collapsed="false">
      <c r="A38" s="69" t="n">
        <v>37</v>
      </c>
      <c r="B38" s="69" t="s">
        <v>63</v>
      </c>
      <c r="C38" s="69" t="s">
        <v>783</v>
      </c>
      <c r="D38" s="69" t="s">
        <v>794</v>
      </c>
      <c r="E38" s="69" t="s">
        <v>751</v>
      </c>
      <c r="F38" s="69" t="s">
        <v>329</v>
      </c>
      <c r="G38" s="69"/>
      <c r="H38" s="69"/>
      <c r="I38" s="69"/>
      <c r="J38" s="69"/>
      <c r="K38" s="69"/>
    </row>
    <row r="39" customFormat="false" ht="35.05" hidden="false" customHeight="false" outlineLevel="0" collapsed="false">
      <c r="A39" s="73" t="n">
        <v>38</v>
      </c>
      <c r="B39" s="73" t="s">
        <v>63</v>
      </c>
      <c r="C39" s="73" t="s">
        <v>783</v>
      </c>
      <c r="D39" s="73" t="s">
        <v>795</v>
      </c>
      <c r="E39" s="73" t="s">
        <v>753</v>
      </c>
      <c r="F39" s="73" t="s">
        <v>329</v>
      </c>
      <c r="G39" s="73"/>
      <c r="H39" s="73"/>
      <c r="I39" s="73"/>
      <c r="J39" s="73"/>
      <c r="K39" s="73"/>
    </row>
    <row r="40" customFormat="false" ht="35.05" hidden="false" customHeight="false" outlineLevel="0" collapsed="false">
      <c r="A40" s="69" t="n">
        <v>39</v>
      </c>
      <c r="B40" s="69" t="s">
        <v>63</v>
      </c>
      <c r="C40" s="69" t="s">
        <v>783</v>
      </c>
      <c r="D40" s="69" t="s">
        <v>796</v>
      </c>
      <c r="E40" s="69" t="s">
        <v>755</v>
      </c>
      <c r="F40" s="69" t="s">
        <v>329</v>
      </c>
      <c r="G40" s="69"/>
      <c r="H40" s="69"/>
      <c r="I40" s="69"/>
      <c r="J40" s="69"/>
      <c r="K40" s="69"/>
    </row>
    <row r="41" customFormat="false" ht="23.85" hidden="false" customHeight="false" outlineLevel="0" collapsed="false">
      <c r="A41" s="73" t="n">
        <v>40</v>
      </c>
      <c r="B41" s="73" t="s">
        <v>63</v>
      </c>
      <c r="C41" s="73" t="s">
        <v>783</v>
      </c>
      <c r="D41" s="73" t="s">
        <v>797</v>
      </c>
      <c r="E41" s="73" t="s">
        <v>779</v>
      </c>
      <c r="F41" s="73" t="s">
        <v>329</v>
      </c>
      <c r="G41" s="73"/>
      <c r="H41" s="73"/>
      <c r="I41" s="73"/>
      <c r="J41" s="73"/>
      <c r="K41" s="73"/>
    </row>
    <row r="42" customFormat="false" ht="35.05" hidden="false" customHeight="false" outlineLevel="0" collapsed="false">
      <c r="A42" s="69" t="n">
        <v>41</v>
      </c>
      <c r="B42" s="69" t="s">
        <v>63</v>
      </c>
      <c r="C42" s="69" t="s">
        <v>783</v>
      </c>
      <c r="D42" s="69" t="s">
        <v>798</v>
      </c>
      <c r="E42" s="69" t="s">
        <v>759</v>
      </c>
      <c r="F42" s="69" t="s">
        <v>329</v>
      </c>
      <c r="G42" s="69"/>
      <c r="H42" s="69"/>
      <c r="I42" s="69"/>
      <c r="J42" s="69"/>
      <c r="K42" s="69"/>
    </row>
    <row r="43" customFormat="false" ht="35.05" hidden="false" customHeight="false" outlineLevel="0" collapsed="false">
      <c r="A43" s="73" t="n">
        <v>42</v>
      </c>
      <c r="B43" s="73" t="s">
        <v>63</v>
      </c>
      <c r="C43" s="73" t="s">
        <v>783</v>
      </c>
      <c r="D43" s="73" t="s">
        <v>799</v>
      </c>
      <c r="E43" s="73" t="s">
        <v>761</v>
      </c>
      <c r="F43" s="73" t="s">
        <v>329</v>
      </c>
      <c r="G43" s="73"/>
      <c r="H43" s="73"/>
      <c r="I43" s="73"/>
      <c r="J43" s="73"/>
      <c r="K43" s="73"/>
    </row>
    <row r="44" customFormat="false" ht="57.45" hidden="false" customHeight="false" outlineLevel="0" collapsed="false">
      <c r="A44" s="69" t="n">
        <v>43</v>
      </c>
      <c r="B44" s="69" t="s">
        <v>63</v>
      </c>
      <c r="C44" s="69" t="s">
        <v>783</v>
      </c>
      <c r="D44" s="69" t="s">
        <v>800</v>
      </c>
      <c r="E44" s="69" t="s">
        <v>801</v>
      </c>
      <c r="F44" s="69" t="s">
        <v>329</v>
      </c>
      <c r="G44" s="69"/>
      <c r="H44" s="69"/>
      <c r="I44" s="69"/>
      <c r="J44" s="69"/>
      <c r="K44" s="69"/>
    </row>
  </sheetData>
  <autoFilter ref="A1:K44"/>
  <conditionalFormatting sqref="I2:I44">
    <cfRule type="cellIs" priority="2" operator="equal" aboveAverage="0" equalAverage="0" bottom="0" percent="0" rank="0" text="" dxfId="15">
      <formula>"COMPLETAR"</formula>
    </cfRule>
    <cfRule type="cellIs" priority="3" operator="equal" aboveAverage="0" equalAverage="0" bottom="0" percent="0" rank="0" text="" dxfId="16">
      <formula>"Falta planificación"</formula>
    </cfRule>
    <cfRule type="cellIs" priority="4" operator="equal" aboveAverage="0" equalAverage="0" bottom="0" percent="0" rank="0" text="" dxfId="17">
      <formula>"Programado"</formula>
    </cfRule>
    <cfRule type="cellIs" priority="5" operator="equal" aboveAverage="0" equalAverage="0" bottom="0" percent="0" rank="0" text="" dxfId="18">
      <formula>"No iniciado"</formula>
    </cfRule>
    <cfRule type="cellIs" priority="6" operator="equal" aboveAverage="0" equalAverage="0" bottom="0" percent="0" rank="0" text="" dxfId="19">
      <formula>"Inicio anticipado"</formula>
    </cfRule>
    <cfRule type="cellIs" priority="7" operator="equal" aboveAverage="0" equalAverage="0" bottom="0" percent="0" rank="0" text="" dxfId="20">
      <formula>"En curso"</formula>
    </cfRule>
    <cfRule type="cellIs" priority="8" operator="equal" aboveAverage="0" equalAverage="0" bottom="0" percent="0" rank="0" text="" dxfId="21">
      <formula>"Inicio retrasado"</formula>
    </cfRule>
    <cfRule type="cellIs" priority="9" operator="equal" aboveAverage="0" equalAverage="0" bottom="0" percent="0" rank="0" text="" dxfId="15">
      <formula>"Atrasado"</formula>
    </cfRule>
    <cfRule type="cellIs" priority="10" operator="equal" aboveAverage="0" equalAverage="0" bottom="0" percent="0" rank="0" text="" dxfId="19">
      <formula>"Finalizado anticipado"</formula>
    </cfRule>
    <cfRule type="cellIs" priority="11" operator="equal" aboveAverage="0" equalAverage="0" bottom="0" percent="0" rank="0" text="" dxfId="22">
      <formula>"Finalizado"</formula>
    </cfRule>
    <cfRule type="cellIs" priority="12" operator="equal" aboveAverage="0" equalAverage="0" bottom="0" percent="0" rank="0" text="" dxfId="21">
      <formula>"Finalizado con desfase"</formula>
    </cfRule>
    <cfRule type="cellIs" priority="13" operator="equal" aboveAverage="0" equalAverage="0" bottom="0" percent="0" rank="0" text="" dxfId="22">
      <formula>"Listo"</formula>
    </cfRule>
    <cfRule type="cellIs" priority="14" operator="equal" aboveAverage="0" equalAverage="0" bottom="0" percent="0" rank="0" text="" dxfId="20">
      <formula>"Maqueta"</formula>
    </cfRule>
    <cfRule type="cellIs" priority="15" operator="equal" aboveAverage="0" equalAverage="0" bottom="0" percent="0" rank="0" text="" dxfId="18">
      <formula>"Pendiente"</formula>
    </cfRule>
    <cfRule type="cellIs" priority="16" operator="equal" aboveAverage="0" equalAverage="0" bottom="0" percent="0" rank="0" text="" dxfId="21">
      <formula>"Observado"</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B6834"/>
    <pageSetUpPr fitToPage="true"/>
  </sheetPr>
  <dimension ref="A1:K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11" min="2" style="0" width="16"/>
  </cols>
  <sheetData>
    <row r="1" customFormat="false" ht="27.75" hidden="false" customHeight="true" outlineLevel="0" collapsed="false">
      <c r="A1" s="66" t="s">
        <v>298</v>
      </c>
      <c r="B1" s="66" t="s">
        <v>47</v>
      </c>
      <c r="C1" s="66" t="s">
        <v>299</v>
      </c>
      <c r="D1" s="66" t="s">
        <v>300</v>
      </c>
      <c r="E1" s="66" t="s">
        <v>698</v>
      </c>
      <c r="F1" s="66" t="s">
        <v>699</v>
      </c>
      <c r="G1" s="66" t="s">
        <v>474</v>
      </c>
      <c r="H1" s="66" t="s">
        <v>475</v>
      </c>
      <c r="I1" s="66" t="s">
        <v>476</v>
      </c>
      <c r="J1" s="66" t="s">
        <v>308</v>
      </c>
      <c r="K1" s="66" t="s">
        <v>68</v>
      </c>
    </row>
  </sheetData>
  <autoFilter ref="A1:K1"/>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3AA7"/>
    <pageSetUpPr fitToPage="true"/>
  </sheetPr>
  <dimension ref="A1:K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11" min="2" style="0" width="16"/>
  </cols>
  <sheetData>
    <row r="1" customFormat="false" ht="27.75" hidden="false" customHeight="true" outlineLevel="0" collapsed="false">
      <c r="A1" s="66" t="s">
        <v>298</v>
      </c>
      <c r="B1" s="66" t="s">
        <v>47</v>
      </c>
      <c r="C1" s="66" t="s">
        <v>299</v>
      </c>
      <c r="D1" s="66" t="s">
        <v>300</v>
      </c>
      <c r="E1" s="66" t="s">
        <v>698</v>
      </c>
      <c r="F1" s="66" t="s">
        <v>699</v>
      </c>
      <c r="G1" s="66" t="s">
        <v>474</v>
      </c>
      <c r="H1" s="66" t="s">
        <v>475</v>
      </c>
      <c r="I1" s="66" t="s">
        <v>476</v>
      </c>
      <c r="J1" s="66" t="s">
        <v>308</v>
      </c>
      <c r="K1" s="66" t="s">
        <v>68</v>
      </c>
    </row>
  </sheetData>
  <autoFilter ref="A1:K1"/>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6B66"/>
    <pageSetUpPr fitToPage="true"/>
  </sheetPr>
  <dimension ref="A1:K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11" min="2" style="0" width="16"/>
  </cols>
  <sheetData>
    <row r="1" customFormat="false" ht="27.75" hidden="false" customHeight="true" outlineLevel="0" collapsed="false">
      <c r="A1" s="66" t="s">
        <v>298</v>
      </c>
      <c r="B1" s="66" t="s">
        <v>47</v>
      </c>
      <c r="C1" s="66" t="s">
        <v>299</v>
      </c>
      <c r="D1" s="66" t="s">
        <v>300</v>
      </c>
      <c r="E1" s="66" t="s">
        <v>698</v>
      </c>
      <c r="F1" s="66" t="s">
        <v>699</v>
      </c>
      <c r="G1" s="66" t="s">
        <v>474</v>
      </c>
      <c r="H1" s="66" t="s">
        <v>475</v>
      </c>
      <c r="I1" s="66" t="s">
        <v>476</v>
      </c>
      <c r="J1" s="66" t="s">
        <v>308</v>
      </c>
      <c r="K1" s="66" t="s">
        <v>68</v>
      </c>
    </row>
  </sheetData>
  <autoFilter ref="A1:K1"/>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6B66"/>
    <pageSetUpPr fitToPage="true"/>
  </sheetPr>
  <dimension ref="B2:L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3"/>
    <col collapsed="false" customWidth="true" hidden="false" outlineLevel="0" max="4" min="4" style="0" width="26"/>
    <col collapsed="false" customWidth="true" hidden="false" outlineLevel="0" max="5" min="5" style="0" width="3"/>
    <col collapsed="false" customWidth="true" hidden="false" outlineLevel="0" max="6" min="6" style="0" width="55"/>
    <col collapsed="false" customWidth="true" hidden="false" outlineLevel="0" max="12" min="7" style="0" width="13"/>
  </cols>
  <sheetData>
    <row r="2" customFormat="false" ht="18.55" hidden="false" customHeight="false" outlineLevel="0" collapsed="false">
      <c r="B2" s="79" t="s">
        <v>802</v>
      </c>
      <c r="C2" s="79"/>
      <c r="D2" s="79"/>
      <c r="E2" s="79"/>
      <c r="F2" s="79"/>
      <c r="G2" s="79"/>
      <c r="H2" s="79"/>
      <c r="I2" s="79"/>
      <c r="J2" s="79"/>
      <c r="K2" s="79"/>
      <c r="L2" s="79"/>
    </row>
    <row r="4" customFormat="false" ht="15" hidden="false" customHeight="false" outlineLevel="0" collapsed="false">
      <c r="B4" s="80" t="s">
        <v>803</v>
      </c>
      <c r="D4" s="80" t="s">
        <v>804</v>
      </c>
      <c r="F4" s="80" t="s">
        <v>805</v>
      </c>
    </row>
    <row r="5" customFormat="false" ht="15" hidden="false" customHeight="false" outlineLevel="0" collapsed="false">
      <c r="B5" s="61" t="s">
        <v>806</v>
      </c>
      <c r="D5" s="61" t="s">
        <v>807</v>
      </c>
      <c r="F5" s="61" t="s">
        <v>808</v>
      </c>
    </row>
    <row r="6" customFormat="false" ht="15" hidden="false" customHeight="false" outlineLevel="0" collapsed="false">
      <c r="B6" s="61" t="s">
        <v>809</v>
      </c>
      <c r="D6" s="61" t="s">
        <v>810</v>
      </c>
      <c r="F6" s="61" t="s">
        <v>811</v>
      </c>
    </row>
    <row r="7" customFormat="false" ht="15" hidden="false" customHeight="false" outlineLevel="0" collapsed="false">
      <c r="B7" s="61" t="s">
        <v>812</v>
      </c>
      <c r="D7" s="61" t="s">
        <v>813</v>
      </c>
      <c r="F7" s="61" t="s">
        <v>814</v>
      </c>
    </row>
    <row r="8" customFormat="false" ht="15" hidden="false" customHeight="false" outlineLevel="0" collapsed="false">
      <c r="D8" s="61" t="s">
        <v>815</v>
      </c>
      <c r="F8" s="61" t="s">
        <v>816</v>
      </c>
    </row>
    <row r="9" customFormat="false" ht="15" hidden="false" customHeight="false" outlineLevel="0" collapsed="false">
      <c r="D9" s="61" t="s">
        <v>817</v>
      </c>
      <c r="F9" s="61" t="s">
        <v>818</v>
      </c>
    </row>
    <row r="10" customFormat="false" ht="15" hidden="false" customHeight="false" outlineLevel="0" collapsed="false">
      <c r="D10" s="61" t="s">
        <v>819</v>
      </c>
      <c r="F10" s="61" t="s">
        <v>820</v>
      </c>
    </row>
    <row r="11" customFormat="false" ht="15" hidden="false" customHeight="false" outlineLevel="0" collapsed="false">
      <c r="D11" s="61" t="s">
        <v>821</v>
      </c>
      <c r="F11" s="61" t="s">
        <v>822</v>
      </c>
    </row>
    <row r="12" customFormat="false" ht="15" hidden="false" customHeight="false" outlineLevel="0" collapsed="false">
      <c r="D12" s="61" t="s">
        <v>823</v>
      </c>
      <c r="F12" s="61" t="s">
        <v>824</v>
      </c>
    </row>
    <row r="13" customFormat="false" ht="15" hidden="false" customHeight="false" outlineLevel="0" collapsed="false">
      <c r="F13" s="61" t="s">
        <v>825</v>
      </c>
    </row>
    <row r="14" customFormat="false" ht="15" hidden="false" customHeight="false" outlineLevel="0" collapsed="false">
      <c r="F14" s="61" t="s">
        <v>826</v>
      </c>
    </row>
    <row r="18" customFormat="false" ht="15" hidden="false" customHeight="false" outlineLevel="0" collapsed="false">
      <c r="B18" s="81" t="s">
        <v>827</v>
      </c>
      <c r="C18" s="81"/>
      <c r="D18" s="81"/>
      <c r="E18" s="81"/>
      <c r="F18" s="81"/>
    </row>
    <row r="19" customFormat="false" ht="19.5" hidden="false" customHeight="true" outlineLevel="0" collapsed="false">
      <c r="B19" s="82" t="s">
        <v>828</v>
      </c>
      <c r="C19" s="83" t="s">
        <v>829</v>
      </c>
      <c r="D19" s="83"/>
      <c r="E19" s="83"/>
      <c r="F19" s="83"/>
    </row>
    <row r="20" customFormat="false" ht="25.5" hidden="false" customHeight="true" outlineLevel="0" collapsed="false">
      <c r="B20" s="72" t="s">
        <v>830</v>
      </c>
      <c r="C20" s="84" t="s">
        <v>831</v>
      </c>
      <c r="D20" s="84"/>
      <c r="E20" s="84"/>
      <c r="F20" s="84"/>
    </row>
    <row r="21" customFormat="false" ht="25.5" hidden="false" customHeight="true" outlineLevel="0" collapsed="false">
      <c r="B21" s="76" t="s">
        <v>832</v>
      </c>
      <c r="C21" s="85" t="s">
        <v>833</v>
      </c>
      <c r="D21" s="85"/>
      <c r="E21" s="85"/>
      <c r="F21" s="85"/>
    </row>
    <row r="22" customFormat="false" ht="25.5" hidden="false" customHeight="true" outlineLevel="0" collapsed="false">
      <c r="B22" s="72" t="s">
        <v>834</v>
      </c>
      <c r="C22" s="84" t="s">
        <v>835</v>
      </c>
      <c r="D22" s="84"/>
      <c r="E22" s="84"/>
      <c r="F22" s="84"/>
    </row>
    <row r="23" customFormat="false" ht="25.5" hidden="false" customHeight="true" outlineLevel="0" collapsed="false">
      <c r="B23" s="76" t="s">
        <v>836</v>
      </c>
      <c r="C23" s="85" t="s">
        <v>837</v>
      </c>
      <c r="D23" s="85"/>
      <c r="E23" s="85"/>
      <c r="F23" s="85"/>
    </row>
    <row r="24" customFormat="false" ht="25.5" hidden="false" customHeight="true" outlineLevel="0" collapsed="false">
      <c r="B24" s="72" t="s">
        <v>838</v>
      </c>
      <c r="C24" s="84" t="s">
        <v>839</v>
      </c>
      <c r="D24" s="84"/>
      <c r="E24" s="84"/>
      <c r="F24" s="84"/>
    </row>
    <row r="25" customFormat="false" ht="25.5" hidden="false" customHeight="true" outlineLevel="0" collapsed="false">
      <c r="B25" s="76" t="s">
        <v>840</v>
      </c>
      <c r="C25" s="85" t="s">
        <v>841</v>
      </c>
      <c r="D25" s="85"/>
      <c r="E25" s="85"/>
      <c r="F25" s="85"/>
    </row>
    <row r="26" customFormat="false" ht="25.5" hidden="false" customHeight="true" outlineLevel="0" collapsed="false">
      <c r="B26" s="72" t="s">
        <v>842</v>
      </c>
      <c r="C26" s="84" t="s">
        <v>843</v>
      </c>
      <c r="D26" s="84"/>
      <c r="E26" s="84"/>
      <c r="F26" s="84"/>
    </row>
    <row r="27" customFormat="false" ht="25.5" hidden="false" customHeight="true" outlineLevel="0" collapsed="false">
      <c r="B27" s="76" t="s">
        <v>844</v>
      </c>
      <c r="C27" s="85" t="s">
        <v>845</v>
      </c>
      <c r="D27" s="85"/>
      <c r="E27" s="85"/>
      <c r="F27" s="85"/>
    </row>
    <row r="28" customFormat="false" ht="25.5" hidden="false" customHeight="true" outlineLevel="0" collapsed="false">
      <c r="B28" s="72" t="s">
        <v>163</v>
      </c>
      <c r="C28" s="84" t="s">
        <v>846</v>
      </c>
      <c r="D28" s="84"/>
      <c r="E28" s="84"/>
      <c r="F28" s="84"/>
    </row>
    <row r="29" customFormat="false" ht="25.5" hidden="false" customHeight="true" outlineLevel="0" collapsed="false">
      <c r="B29" s="76" t="s">
        <v>847</v>
      </c>
      <c r="C29" s="85" t="s">
        <v>848</v>
      </c>
      <c r="D29" s="85"/>
      <c r="E29" s="85"/>
      <c r="F29" s="85"/>
    </row>
    <row r="30" customFormat="false" ht="25.5" hidden="false" customHeight="true" outlineLevel="0" collapsed="false">
      <c r="B30" s="72" t="s">
        <v>849</v>
      </c>
      <c r="C30" s="84" t="s">
        <v>850</v>
      </c>
      <c r="D30" s="84"/>
      <c r="E30" s="84"/>
      <c r="F30" s="84"/>
    </row>
    <row r="31" customFormat="false" ht="25.5" hidden="false" customHeight="true" outlineLevel="0" collapsed="false">
      <c r="B31" s="76" t="s">
        <v>851</v>
      </c>
      <c r="C31" s="85" t="s">
        <v>852</v>
      </c>
      <c r="D31" s="85"/>
      <c r="E31" s="85"/>
      <c r="F31" s="85"/>
    </row>
    <row r="32" customFormat="false" ht="25.5" hidden="false" customHeight="true" outlineLevel="0" collapsed="false">
      <c r="B32" s="72" t="s">
        <v>853</v>
      </c>
      <c r="C32" s="84" t="s">
        <v>854</v>
      </c>
      <c r="D32" s="84"/>
      <c r="E32" s="84"/>
      <c r="F32" s="84"/>
    </row>
    <row r="33" customFormat="false" ht="25.5" hidden="false" customHeight="true" outlineLevel="0" collapsed="false">
      <c r="B33" s="76" t="s">
        <v>49</v>
      </c>
      <c r="C33" s="85" t="s">
        <v>855</v>
      </c>
      <c r="D33" s="85"/>
      <c r="E33" s="85"/>
      <c r="F33" s="85"/>
    </row>
    <row r="34" customFormat="false" ht="25.5" hidden="false" customHeight="true" outlineLevel="0" collapsed="false">
      <c r="B34" s="72" t="s">
        <v>50</v>
      </c>
      <c r="C34" s="84" t="s">
        <v>856</v>
      </c>
      <c r="D34" s="84"/>
      <c r="E34" s="84"/>
      <c r="F34" s="84"/>
    </row>
    <row r="35" customFormat="false" ht="25.5" hidden="false" customHeight="true" outlineLevel="0" collapsed="false">
      <c r="B35" s="76" t="s">
        <v>51</v>
      </c>
      <c r="C35" s="85" t="s">
        <v>857</v>
      </c>
      <c r="D35" s="85"/>
      <c r="E35" s="85"/>
      <c r="F35" s="85"/>
    </row>
    <row r="36" customFormat="false" ht="25.5" hidden="false" customHeight="true" outlineLevel="0" collapsed="false">
      <c r="B36" s="72" t="s">
        <v>52</v>
      </c>
      <c r="C36" s="84" t="s">
        <v>858</v>
      </c>
      <c r="D36" s="84"/>
      <c r="E36" s="84"/>
      <c r="F36" s="84"/>
    </row>
    <row r="37" customFormat="false" ht="25.5" hidden="false" customHeight="true" outlineLevel="0" collapsed="false">
      <c r="B37" s="76" t="s">
        <v>53</v>
      </c>
      <c r="C37" s="85" t="s">
        <v>859</v>
      </c>
      <c r="D37" s="85"/>
      <c r="E37" s="85"/>
      <c r="F37" s="85"/>
    </row>
    <row r="38" customFormat="false" ht="25.5" hidden="false" customHeight="true" outlineLevel="0" collapsed="false">
      <c r="B38" s="72" t="s">
        <v>37</v>
      </c>
      <c r="C38" s="84" t="s">
        <v>860</v>
      </c>
      <c r="D38" s="84"/>
      <c r="E38" s="84"/>
      <c r="F38" s="84"/>
    </row>
    <row r="39" customFormat="false" ht="25.5" hidden="false" customHeight="true" outlineLevel="0" collapsed="false">
      <c r="B39" s="76" t="s">
        <v>54</v>
      </c>
      <c r="C39" s="85" t="s">
        <v>861</v>
      </c>
      <c r="D39" s="85"/>
      <c r="E39" s="85"/>
      <c r="F39" s="85"/>
    </row>
    <row r="40" customFormat="false" ht="25.5" hidden="false" customHeight="true" outlineLevel="0" collapsed="false">
      <c r="B40" s="72" t="s">
        <v>55</v>
      </c>
      <c r="C40" s="84" t="s">
        <v>862</v>
      </c>
      <c r="D40" s="84"/>
      <c r="E40" s="84"/>
      <c r="F40" s="84"/>
    </row>
    <row r="41" customFormat="false" ht="25.5" hidden="false" customHeight="true" outlineLevel="0" collapsed="false">
      <c r="B41" s="76" t="s">
        <v>57</v>
      </c>
      <c r="C41" s="85" t="s">
        <v>863</v>
      </c>
      <c r="D41" s="85"/>
      <c r="E41" s="85"/>
      <c r="F41" s="85"/>
    </row>
    <row r="42" customFormat="false" ht="25.5" hidden="false" customHeight="true" outlineLevel="0" collapsed="false">
      <c r="B42" s="72" t="s">
        <v>56</v>
      </c>
      <c r="C42" s="84" t="s">
        <v>864</v>
      </c>
      <c r="D42" s="84"/>
      <c r="E42" s="84"/>
      <c r="F42" s="84"/>
    </row>
    <row r="43" customFormat="false" ht="25.5" hidden="false" customHeight="true" outlineLevel="0" collapsed="false">
      <c r="B43" s="76" t="s">
        <v>58</v>
      </c>
      <c r="C43" s="85" t="s">
        <v>865</v>
      </c>
      <c r="D43" s="85"/>
      <c r="E43" s="85"/>
      <c r="F43" s="85"/>
    </row>
    <row r="45" customFormat="false" ht="15" hidden="false" customHeight="false" outlineLevel="0" collapsed="false">
      <c r="B45" s="81" t="s">
        <v>866</v>
      </c>
      <c r="C45" s="81"/>
      <c r="D45" s="81"/>
      <c r="E45" s="81"/>
      <c r="F45" s="81"/>
      <c r="G45" s="81"/>
      <c r="H45" s="81"/>
      <c r="I45" s="81"/>
      <c r="J45" s="81"/>
      <c r="K45" s="81"/>
      <c r="L45" s="81"/>
    </row>
    <row r="46" customFormat="false" ht="27.75" hidden="false" customHeight="true" outlineLevel="0" collapsed="false">
      <c r="B46" s="45" t="s">
        <v>867</v>
      </c>
      <c r="G46" s="45" t="s">
        <v>868</v>
      </c>
      <c r="H46" s="45" t="s">
        <v>869</v>
      </c>
      <c r="I46" s="45" t="s">
        <v>840</v>
      </c>
      <c r="J46" s="45" t="s">
        <v>870</v>
      </c>
      <c r="K46" s="45" t="s">
        <v>844</v>
      </c>
    </row>
    <row r="47" customFormat="false" ht="15" hidden="false" customHeight="false" outlineLevel="0" collapsed="false">
      <c r="B47" s="76" t="s">
        <v>871</v>
      </c>
      <c r="G47" s="86" t="s">
        <v>872</v>
      </c>
      <c r="H47" s="87" t="s">
        <v>873</v>
      </c>
      <c r="I47" s="88" t="s">
        <v>874</v>
      </c>
      <c r="J47" s="89" t="s">
        <v>156</v>
      </c>
      <c r="K47" s="89" t="s">
        <v>156</v>
      </c>
    </row>
    <row r="48" customFormat="false" ht="15" hidden="false" customHeight="false" outlineLevel="0" collapsed="false">
      <c r="B48" s="72" t="s">
        <v>177</v>
      </c>
      <c r="G48" s="90" t="s">
        <v>156</v>
      </c>
      <c r="H48" s="91" t="s">
        <v>874</v>
      </c>
      <c r="I48" s="92" t="s">
        <v>872</v>
      </c>
      <c r="J48" s="91" t="s">
        <v>874</v>
      </c>
      <c r="K48" s="93" t="s">
        <v>873</v>
      </c>
    </row>
    <row r="49" customFormat="false" ht="15" hidden="false" customHeight="false" outlineLevel="0" collapsed="false">
      <c r="B49" s="76" t="s">
        <v>875</v>
      </c>
      <c r="G49" s="89" t="s">
        <v>156</v>
      </c>
      <c r="H49" s="88" t="s">
        <v>874</v>
      </c>
      <c r="I49" s="86" t="s">
        <v>876</v>
      </c>
      <c r="J49" s="89" t="s">
        <v>156</v>
      </c>
      <c r="K49" s="88" t="s">
        <v>874</v>
      </c>
    </row>
    <row r="50" customFormat="false" ht="15" hidden="false" customHeight="false" outlineLevel="0" collapsed="false">
      <c r="B50" s="72" t="s">
        <v>98</v>
      </c>
      <c r="G50" s="90" t="s">
        <v>156</v>
      </c>
      <c r="H50" s="91" t="s">
        <v>874</v>
      </c>
      <c r="I50" s="92" t="s">
        <v>872</v>
      </c>
      <c r="J50" s="93" t="s">
        <v>873</v>
      </c>
      <c r="K50" s="91" t="s">
        <v>874</v>
      </c>
    </row>
    <row r="51" customFormat="false" ht="15" hidden="false" customHeight="false" outlineLevel="0" collapsed="false">
      <c r="B51" s="76" t="s">
        <v>877</v>
      </c>
      <c r="G51" s="89" t="s">
        <v>156</v>
      </c>
      <c r="H51" s="88" t="s">
        <v>874</v>
      </c>
      <c r="I51" s="88" t="s">
        <v>874</v>
      </c>
      <c r="J51" s="87" t="s">
        <v>873</v>
      </c>
      <c r="K51" s="89" t="s">
        <v>156</v>
      </c>
    </row>
    <row r="52" customFormat="false" ht="15" hidden="false" customHeight="false" outlineLevel="0" collapsed="false">
      <c r="B52" s="72" t="s">
        <v>878</v>
      </c>
      <c r="G52" s="90" t="s">
        <v>156</v>
      </c>
      <c r="H52" s="91" t="s">
        <v>874</v>
      </c>
      <c r="I52" s="92" t="s">
        <v>872</v>
      </c>
      <c r="J52" s="91" t="s">
        <v>874</v>
      </c>
      <c r="K52" s="93" t="s">
        <v>873</v>
      </c>
    </row>
    <row r="53" customFormat="false" ht="15" hidden="false" customHeight="false" outlineLevel="0" collapsed="false">
      <c r="B53" s="76" t="s">
        <v>879</v>
      </c>
      <c r="G53" s="89" t="s">
        <v>156</v>
      </c>
      <c r="H53" s="88" t="s">
        <v>874</v>
      </c>
      <c r="I53" s="88" t="s">
        <v>874</v>
      </c>
      <c r="J53" s="89" t="s">
        <v>156</v>
      </c>
      <c r="K53" s="87" t="s">
        <v>873</v>
      </c>
    </row>
    <row r="54" customFormat="false" ht="15" hidden="false" customHeight="false" outlineLevel="0" collapsed="false">
      <c r="B54" s="72" t="s">
        <v>880</v>
      </c>
      <c r="G54" s="92" t="s">
        <v>872</v>
      </c>
      <c r="H54" s="93" t="s">
        <v>873</v>
      </c>
      <c r="I54" s="91" t="s">
        <v>874</v>
      </c>
      <c r="J54" s="93" t="s">
        <v>873</v>
      </c>
      <c r="K54" s="90" t="s">
        <v>156</v>
      </c>
    </row>
  </sheetData>
  <mergeCells count="28">
    <mergeCell ref="B2:L2"/>
    <mergeCell ref="B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B45:L4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2026-08-05T21:09:06Z</dcterms:created>
  <dc:creator>openpyxl</dc:creator>
  <dc:description/>
  <dc:language>en-US</dc:language>
  <cp:lastModifiedBy/>
  <dcterms:modified xsi:type="dcterms:W3CDTF">2026-08-05T21:09:15Z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